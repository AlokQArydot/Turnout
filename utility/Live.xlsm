
<file path=[Content_Types].xml><?xml version="1.0" encoding="utf-8"?>
<Types xmlns="http://schemas.openxmlformats.org/package/2006/content-types"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  <Override PartName="/xl/styles.xml" ContentType="application/vnd.openxmlformats-officedocument.spreadsheetml.styles+xml"/>
  <Override PartName="/_rels/.rels" ContentType="application/vnd.openxmlformats-package.relationships+xml"/>
  <Override PartName="/docProps/custom.xml" ContentType="application/vnd.openxmlformats-officedocument.custom-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employee" sheetId="1" state="visible" r:id="rId2"/>
    <sheet name="Sheet2" sheetId="2" state="visible" r:id="rId3"/>
  </sheets>
  <calcPr iterateCount="100" refMode="A1" iterate="false" iterateDelta="0.0001"/>
  <extLst>
    <ext xmlns:loext="http://schemas.libreoffice.org/" uri="{7626C862-2A13-11E5-B345-FEFF819CDC9F}">
      <loext:extCalcPr stringRefSyntax="CalcA1ExcelA1"/>
    </ext>
  </extLst>
</workbook>
</file>

<file path=xl/sharedStrings.xml><?xml version="1.0" encoding="utf-8"?>
<sst xmlns="http://schemas.openxmlformats.org/spreadsheetml/2006/main" count="4546" uniqueCount="884">
  <si>
    <t xml:space="preserve">NAME </t>
  </si>
  <si>
    <t xml:space="preserve">EMP CODE</t>
  </si>
  <si>
    <t xml:space="preserve">GENDER</t>
  </si>
  <si>
    <t xml:space="preserve">MOBILE NUM</t>
  </si>
  <si>
    <t xml:space="preserve">A NUM</t>
  </si>
  <si>
    <t xml:space="preserve">DOJ</t>
  </si>
  <si>
    <t xml:space="preserve">DOB</t>
  </si>
  <si>
    <t xml:space="preserve">BLOOD G</t>
  </si>
  <si>
    <t xml:space="preserve">MARITAL S </t>
  </si>
  <si>
    <t xml:space="preserve">MARRIAGE DATE</t>
  </si>
  <si>
    <t xml:space="preserve">COMPANY</t>
  </si>
  <si>
    <t xml:space="preserve">EMPL TYPE</t>
  </si>
  <si>
    <t xml:space="preserve">Department</t>
  </si>
  <si>
    <t xml:space="preserve">ROLE </t>
  </si>
  <si>
    <t xml:space="preserve">Designation</t>
  </si>
  <si>
    <t xml:space="preserve">ZONE</t>
  </si>
  <si>
    <t xml:space="preserve">REGION</t>
  </si>
  <si>
    <t xml:space="preserve">STATE</t>
  </si>
  <si>
    <t xml:space="preserve">CITY</t>
  </si>
  <si>
    <t xml:space="preserve">BRANCH</t>
  </si>
  <si>
    <t xml:space="preserve">ADDRESS</t>
  </si>
  <si>
    <t xml:space="preserve">Email</t>
  </si>
  <si>
    <t xml:space="preserve">PASSWORD</t>
  </si>
  <si>
    <t xml:space="preserve">CONF PSWD</t>
  </si>
  <si>
    <t xml:space="preserve">CHIRAG MOOLCHAND JAIN</t>
  </si>
  <si>
    <t xml:space="preserve">DD0001</t>
  </si>
  <si>
    <t xml:space="preserve">Male</t>
  </si>
  <si>
    <t xml:space="preserve">B+</t>
  </si>
  <si>
    <t xml:space="preserve">single</t>
  </si>
  <si>
    <t xml:space="preserve">D Damot Pvt Ltd</t>
  </si>
  <si>
    <t xml:space="preserve">Permanent</t>
  </si>
  <si>
    <t xml:space="preserve">SALES AND MARKETING</t>
  </si>
  <si>
    <t xml:space="preserve">Employee</t>
  </si>
  <si>
    <t xml:space="preserve">Sales Officer</t>
  </si>
  <si>
    <t xml:space="preserve">West</t>
  </si>
  <si>
    <t xml:space="preserve">West India</t>
  </si>
  <si>
    <t xml:space="preserve">Gujarat</t>
  </si>
  <si>
    <t xml:space="preserve">Surat</t>
  </si>
  <si>
    <t xml:space="preserve">CHIRAGJAINJ589@GMAIL.COM</t>
  </si>
  <si>
    <t xml:space="preserve">Srcpl#2023.</t>
  </si>
  <si>
    <t xml:space="preserve">NEHABEN PIYUSHKUMAR PATEL</t>
  </si>
  <si>
    <t xml:space="preserve">DD0003</t>
  </si>
  <si>
    <t xml:space="preserve">Female</t>
  </si>
  <si>
    <t xml:space="preserve">Sales Coordinator</t>
  </si>
  <si>
    <t xml:space="preserve">PHPATEL1887@GMAIL.COM</t>
  </si>
  <si>
    <t xml:space="preserve">AJAY KARNALSINGH SARDAR</t>
  </si>
  <si>
    <t xml:space="preserve">HT0002</t>
  </si>
  <si>
    <t xml:space="preserve">O+</t>
  </si>
  <si>
    <t xml:space="preserve">Hardten Precision Technologies Pvt Ltd</t>
  </si>
  <si>
    <t xml:space="preserve">Production</t>
  </si>
  <si>
    <t xml:space="preserve">Junior Engineer</t>
  </si>
  <si>
    <t xml:space="preserve">SARDARAJAY.13@GMAIL.COM</t>
  </si>
  <si>
    <t xml:space="preserve">HIRENDRASINH MAHIPATSINH RATHOD</t>
  </si>
  <si>
    <t xml:space="preserve">HT0003</t>
  </si>
  <si>
    <t xml:space="preserve">AB+</t>
  </si>
  <si>
    <t xml:space="preserve">HIRENDRARATHOD12@GMAIL.COM</t>
  </si>
  <si>
    <t xml:space="preserve">DURGESH KISHOR SAINDANE</t>
  </si>
  <si>
    <t xml:space="preserve">HT0004</t>
  </si>
  <si>
    <t xml:space="preserve">Quality Control</t>
  </si>
  <si>
    <t xml:space="preserve">Graduate Engineer Trainee</t>
  </si>
  <si>
    <t xml:space="preserve">DURGESHKOLI3425@GMAIL.COM</t>
  </si>
  <si>
    <t xml:space="preserve">VIKASKUMAR ARVINDBHAI DHODI</t>
  </si>
  <si>
    <t xml:space="preserve">HT0005</t>
  </si>
  <si>
    <t xml:space="preserve">DHODIVIKAS19@GMAIL.COM</t>
  </si>
  <si>
    <t xml:space="preserve">JIGAR DILIPKUMAR VARU</t>
  </si>
  <si>
    <t xml:space="preserve">HT0006</t>
  </si>
  <si>
    <t xml:space="preserve">Design Engineer</t>
  </si>
  <si>
    <t xml:space="preserve">JIGARVARU98@GMAIL.COM</t>
  </si>
  <si>
    <t xml:space="preserve">MANEETA RAMDAYAL</t>
  </si>
  <si>
    <t xml:space="preserve">HT0010</t>
  </si>
  <si>
    <t xml:space="preserve">ADMINISTRATION</t>
  </si>
  <si>
    <t xml:space="preserve">Helper</t>
  </si>
  <si>
    <t xml:space="preserve">maneeta@gmail.com</t>
  </si>
  <si>
    <t xml:space="preserve">ANITA DEVI SUJIT THAKUR</t>
  </si>
  <si>
    <t xml:space="preserve">HT0013</t>
  </si>
  <si>
    <t xml:space="preserve">HOUSEKEEPING</t>
  </si>
  <si>
    <t xml:space="preserve">anita@gmail.com</t>
  </si>
  <si>
    <t xml:space="preserve">SANGITA DEVI AVADHESH THAKUR</t>
  </si>
  <si>
    <t xml:space="preserve">HT0014</t>
  </si>
  <si>
    <t xml:space="preserve">sangita@gmail.com</t>
  </si>
  <si>
    <t xml:space="preserve">RINKU DEVI SAROJ KUMAR THAKUR</t>
  </si>
  <si>
    <t xml:space="preserve">HT0015</t>
  </si>
  <si>
    <t xml:space="preserve">rinku@gmail.com</t>
  </si>
  <si>
    <t xml:space="preserve">VIVEK RAJENDRA BHAWSAR</t>
  </si>
  <si>
    <t xml:space="preserve">HT0017</t>
  </si>
  <si>
    <t xml:space="preserve">Sr. Engineer - Quality</t>
  </si>
  <si>
    <t xml:space="preserve">VRBHAWSAR@GMAIL.COM</t>
  </si>
  <si>
    <t xml:space="preserve">ARUN KUMAR</t>
  </si>
  <si>
    <t xml:space="preserve">HT0018</t>
  </si>
  <si>
    <t xml:space="preserve">Peon</t>
  </si>
  <si>
    <t xml:space="preserve">aarunloveraju@gmail.com</t>
  </si>
  <si>
    <t xml:space="preserve">DIPESH MAHADEV KADAM</t>
  </si>
  <si>
    <t xml:space="preserve">HT0019</t>
  </si>
  <si>
    <t xml:space="preserve">Purchase &amp; Store</t>
  </si>
  <si>
    <t xml:space="preserve">Purchase Executive</t>
  </si>
  <si>
    <t xml:space="preserve">dipkadam111@gmail.com</t>
  </si>
  <si>
    <t xml:space="preserve">Priyankkumar Pravinchandra Solanki</t>
  </si>
  <si>
    <t xml:space="preserve">HT0021</t>
  </si>
  <si>
    <t xml:space="preserve">Sales Executive</t>
  </si>
  <si>
    <t xml:space="preserve">solankipriyank219@gmail.com</t>
  </si>
  <si>
    <t xml:space="preserve">NIKHIL MUKESHBHAI KATHIRIYA</t>
  </si>
  <si>
    <t xml:space="preserve">HT0022</t>
  </si>
  <si>
    <t xml:space="preserve">nikhilkathiriya10@gmail.com</t>
  </si>
  <si>
    <t xml:space="preserve">JATIN BHARATBHAI KANPARIYA</t>
  </si>
  <si>
    <t xml:space="preserve">HT0024</t>
  </si>
  <si>
    <t xml:space="preserve">Manager</t>
  </si>
  <si>
    <t xml:space="preserve">007jatink@gmail.com</t>
  </si>
  <si>
    <t xml:space="preserve">LALBABU PAWAN RAM KUMAR</t>
  </si>
  <si>
    <t xml:space="preserve">HT0026</t>
  </si>
  <si>
    <t xml:space="preserve">sriradhekrishna8716@gmail.com</t>
  </si>
  <si>
    <t xml:space="preserve">JIGNESHBHAI MANSHUKHBHAI LAHERI</t>
  </si>
  <si>
    <t xml:space="preserve">SH00001</t>
  </si>
  <si>
    <t xml:space="preserve">Superhard Research Centre Pvt Ltd</t>
  </si>
  <si>
    <t xml:space="preserve">Cleaving Department</t>
  </si>
  <si>
    <t xml:space="preserve">Marker</t>
  </si>
  <si>
    <t xml:space="preserve">jigneshlaheri95@gmail.com</t>
  </si>
  <si>
    <t xml:space="preserve">NILDEEP PRAVINBHAI GOHIL</t>
  </si>
  <si>
    <t xml:space="preserve">SH00002</t>
  </si>
  <si>
    <t xml:space="preserve">FINANCE &amp; ACCOUNT</t>
  </si>
  <si>
    <t xml:space="preserve">Assistant Manager</t>
  </si>
  <si>
    <t xml:space="preserve">neeldeepgohil@gmail.com</t>
  </si>
  <si>
    <t xml:space="preserve">DHARMESH JAYANIBHAI CHHAYANI</t>
  </si>
  <si>
    <t xml:space="preserve">SH00003</t>
  </si>
  <si>
    <t xml:space="preserve">Assort</t>
  </si>
  <si>
    <t xml:space="preserve">dharmeshchhayani1@gmail.com</t>
  </si>
  <si>
    <t xml:space="preserve">JAYSUKHBHAI RANCHHODBHAI VAGHASIYA</t>
  </si>
  <si>
    <t xml:space="preserve">SH00004</t>
  </si>
  <si>
    <t xml:space="preserve">Laser Department</t>
  </si>
  <si>
    <t xml:space="preserve">Laser Manager</t>
  </si>
  <si>
    <t xml:space="preserve">vjaysukhbhai2@gmail.com</t>
  </si>
  <si>
    <t xml:space="preserve">DIPAKBHAI NANJIBHAI CHODVADIYA</t>
  </si>
  <si>
    <t xml:space="preserve">SH00006</t>
  </si>
  <si>
    <t xml:space="preserve">Laser Operator</t>
  </si>
  <si>
    <t xml:space="preserve">dipakpatel244@gmail.com</t>
  </si>
  <si>
    <t xml:space="preserve">KALPESHBHAI THAKARSHIBHAI MAKVANA</t>
  </si>
  <si>
    <t xml:space="preserve">SH00007</t>
  </si>
  <si>
    <t xml:space="preserve">A+</t>
  </si>
  <si>
    <t xml:space="preserve">Blocking Department</t>
  </si>
  <si>
    <t xml:space="preserve">Blocking Manager</t>
  </si>
  <si>
    <t xml:space="preserve">makwanakarshan449@gmail.com</t>
  </si>
  <si>
    <t xml:space="preserve">VIRENDRAKUMAR RAMKISHOR YADAV</t>
  </si>
  <si>
    <t xml:space="preserve">SH00008</t>
  </si>
  <si>
    <t xml:space="preserve">Laser</t>
  </si>
  <si>
    <t xml:space="preserve">viredrayadav80@gmail.com</t>
  </si>
  <si>
    <t xml:space="preserve">SHASHIKANT BHAGVANBHAI CHAUDHARI</t>
  </si>
  <si>
    <t xml:space="preserve">SH00009</t>
  </si>
  <si>
    <t xml:space="preserve">4P</t>
  </si>
  <si>
    <t xml:space="preserve">sannychaudhari23@gmail.com</t>
  </si>
  <si>
    <t xml:space="preserve">KHODIDAS VIRJIBHAI SAKARIYA</t>
  </si>
  <si>
    <t xml:space="preserve">SH00010</t>
  </si>
  <si>
    <t xml:space="preserve">Admin</t>
  </si>
  <si>
    <t xml:space="preserve">Admin Officer</t>
  </si>
  <si>
    <t xml:space="preserve">Khodidassakariya76@gmail.com</t>
  </si>
  <si>
    <t xml:space="preserve">RITESH SURESH KOLI</t>
  </si>
  <si>
    <t xml:space="preserve">SH00011</t>
  </si>
  <si>
    <t xml:space="preserve">Sticking Operator</t>
  </si>
  <si>
    <t xml:space="preserve">riteshkoli1171@gmail.com</t>
  </si>
  <si>
    <t xml:space="preserve">ALPESH VALJIBHAI BARAIYA</t>
  </si>
  <si>
    <t xml:space="preserve">SH00012</t>
  </si>
  <si>
    <t xml:space="preserve">Blocking Worker</t>
  </si>
  <si>
    <t xml:space="preserve">alpeshb095@gmail.com</t>
  </si>
  <si>
    <t xml:space="preserve">GAUTAMI SRINIVAS GANJI</t>
  </si>
  <si>
    <t xml:space="preserve">SH00014</t>
  </si>
  <si>
    <t xml:space="preserve">gouthamiganji1@gmail.com</t>
  </si>
  <si>
    <t xml:space="preserve">CHIRAGKUMAR RAJUBHAI SAKARIYA</t>
  </si>
  <si>
    <t xml:space="preserve">SH00018</t>
  </si>
  <si>
    <t xml:space="preserve">Sr. Manager</t>
  </si>
  <si>
    <t xml:space="preserve">chiragsakariya25@gmail.com</t>
  </si>
  <si>
    <t xml:space="preserve">SURESHBHAI MAGANBHAI SAVAJ</t>
  </si>
  <si>
    <t xml:space="preserve">SH00023</t>
  </si>
  <si>
    <t xml:space="preserve">Assistant</t>
  </si>
  <si>
    <t xml:space="preserve">sureshsavaj165@gmail.com</t>
  </si>
  <si>
    <t xml:space="preserve">SANDEEPSINH GEMALSINH THAKOR</t>
  </si>
  <si>
    <t xml:space="preserve">SH00024</t>
  </si>
  <si>
    <t xml:space="preserve">Assortment</t>
  </si>
  <si>
    <t xml:space="preserve">Assorter</t>
  </si>
  <si>
    <t xml:space="preserve">sandydarbar77@gmail.com</t>
  </si>
  <si>
    <t xml:space="preserve">PARIL RAJIV JHAVERI</t>
  </si>
  <si>
    <t xml:space="preserve">SH00025</t>
  </si>
  <si>
    <t xml:space="preserve">Sales &amp; Marketing</t>
  </si>
  <si>
    <t xml:space="preserve">parilr@gmail.com</t>
  </si>
  <si>
    <t xml:space="preserve">RAJIV DILIP JHAVERI</t>
  </si>
  <si>
    <t xml:space="preserve">SH00026</t>
  </si>
  <si>
    <t xml:space="preserve">Head, Sales &amp; Marketing</t>
  </si>
  <si>
    <t xml:space="preserve">rajiv@starlinediamonds.com</t>
  </si>
  <si>
    <t xml:space="preserve">SANJAY SHANTARAM KONDE</t>
  </si>
  <si>
    <t xml:space="preserve">SH00027</t>
  </si>
  <si>
    <t xml:space="preserve">ASSORTOR</t>
  </si>
  <si>
    <t xml:space="preserve">sanjaykonde007@gmail.com</t>
  </si>
  <si>
    <t xml:space="preserve">BIPIN GHANSHYAMBHAI LATHIYA</t>
  </si>
  <si>
    <t xml:space="preserve">SH00029</t>
  </si>
  <si>
    <t xml:space="preserve">bipinlathiya2333@gmail.com</t>
  </si>
  <si>
    <t xml:space="preserve">RAKESH JAYANTIBHAI CHHAYANI</t>
  </si>
  <si>
    <t xml:space="preserve">SH00030</t>
  </si>
  <si>
    <t xml:space="preserve">Checker</t>
  </si>
  <si>
    <t xml:space="preserve">RKchhayani009@gmail.com</t>
  </si>
  <si>
    <t xml:space="preserve">RAVI RASHIKBHAI DADHANIYA</t>
  </si>
  <si>
    <t xml:space="preserve">SH00032</t>
  </si>
  <si>
    <t xml:space="preserve">Round Department</t>
  </si>
  <si>
    <t xml:space="preserve">Diamond Polishing Worker</t>
  </si>
  <si>
    <t xml:space="preserve">ravidadhaniya88@gmail.com</t>
  </si>
  <si>
    <t xml:space="preserve">ASHOKBHAI KANTIBHAI DODIYA</t>
  </si>
  <si>
    <t xml:space="preserve">SH00033</t>
  </si>
  <si>
    <t xml:space="preserve">Blocking</t>
  </si>
  <si>
    <t xml:space="preserve">dodiyaaahok@gmail.com</t>
  </si>
  <si>
    <t xml:space="preserve">MAHESH HIMMATBHAI KOTADIYA</t>
  </si>
  <si>
    <t xml:space="preserve">SH00034</t>
  </si>
  <si>
    <t xml:space="preserve">4-P Operator</t>
  </si>
  <si>
    <t xml:space="preserve">mkotadiya8691@gmail.com</t>
  </si>
  <si>
    <t xml:space="preserve">MAHADEV KEVLBHAI MEHTA</t>
  </si>
  <si>
    <t xml:space="preserve">SH00036</t>
  </si>
  <si>
    <t xml:space="preserve">Data Entry Operator</t>
  </si>
  <si>
    <t xml:space="preserve">mahadevmaheta809@gmail.com</t>
  </si>
  <si>
    <t xml:space="preserve">NEETA SHIVAJI GURJAR</t>
  </si>
  <si>
    <t xml:space="preserve">SH00037</t>
  </si>
  <si>
    <t xml:space="preserve">Cleaving</t>
  </si>
  <si>
    <t xml:space="preserve">gurjarneeta212@gmail.com</t>
  </si>
  <si>
    <t xml:space="preserve">JAYESHKUMAR CHANDUBHAI CHOUDHARI</t>
  </si>
  <si>
    <t xml:space="preserve">SH00038</t>
  </si>
  <si>
    <t xml:space="preserve">4P Operator</t>
  </si>
  <si>
    <t xml:space="preserve">jayeshchaudhari026@gmail.com</t>
  </si>
  <si>
    <t xml:space="preserve">MANAHARBHAI KALUBHAI PANSURIYA</t>
  </si>
  <si>
    <t xml:space="preserve">SH00041</t>
  </si>
  <si>
    <t xml:space="preserve">Lot Department</t>
  </si>
  <si>
    <t xml:space="preserve">Lot Checker</t>
  </si>
  <si>
    <t xml:space="preserve">manharpansuriya99@gmail.com</t>
  </si>
  <si>
    <t xml:space="preserve">SATISH APPAJI JADAV</t>
  </si>
  <si>
    <t xml:space="preserve">SH00042</t>
  </si>
  <si>
    <t xml:space="preserve">O-</t>
  </si>
  <si>
    <t xml:space="preserve">satish1904@gmail.com</t>
  </si>
  <si>
    <t xml:space="preserve">AJAY DHIRUBHAI KANPARIYA</t>
  </si>
  <si>
    <t xml:space="preserve">SH00043</t>
  </si>
  <si>
    <t xml:space="preserve">Lotting Manager</t>
  </si>
  <si>
    <t xml:space="preserve">G626315@gmail.com</t>
  </si>
  <si>
    <t xml:space="preserve">YOGESH HIMATBHAI NADA</t>
  </si>
  <si>
    <t xml:space="preserve">SH00044</t>
  </si>
  <si>
    <t xml:space="preserve">yogesh.nada999@gmail.com</t>
  </si>
  <si>
    <t xml:space="preserve">HIRENBHAI UKABHAI RADADIYA</t>
  </si>
  <si>
    <t xml:space="preserve">SH00046</t>
  </si>
  <si>
    <t xml:space="preserve">radadiyahiren96@gmail.com</t>
  </si>
  <si>
    <t xml:space="preserve">ASHEESH KUMAR GUPTA</t>
  </si>
  <si>
    <t xml:space="preserve">SH00048</t>
  </si>
  <si>
    <t xml:space="preserve">gupta.asheesh76@gmail.com</t>
  </si>
  <si>
    <t xml:space="preserve">ANJALI MADAN BHAGAT</t>
  </si>
  <si>
    <t xml:space="preserve">SH00049</t>
  </si>
  <si>
    <t xml:space="preserve">anjalibhagat753@gmail.com</t>
  </si>
  <si>
    <t xml:space="preserve">PALLAVI RAMDAS GAWADE</t>
  </si>
  <si>
    <t xml:space="preserve">SH00050</t>
  </si>
  <si>
    <t xml:space="preserve">ramdas.gawade1982@gmail.com</t>
  </si>
  <si>
    <t xml:space="preserve">SAKSHI SURESH WAZE</t>
  </si>
  <si>
    <t xml:space="preserve">SH00051</t>
  </si>
  <si>
    <t xml:space="preserve">wazesakshi@gmail.com</t>
  </si>
  <si>
    <t xml:space="preserve">GHANSHYAMBHAI VINUBHAI CHOVATIYA</t>
  </si>
  <si>
    <t xml:space="preserve">SH00053</t>
  </si>
  <si>
    <t xml:space="preserve">jigneshchovatiya5@gmail.com</t>
  </si>
  <si>
    <t xml:space="preserve">DILIP CHAITRAM KOLI</t>
  </si>
  <si>
    <t xml:space="preserve">SH00055</t>
  </si>
  <si>
    <t xml:space="preserve">Sticking</t>
  </si>
  <si>
    <t xml:space="preserve">dilip@gmail.com</t>
  </si>
  <si>
    <t xml:space="preserve">SUNEELKUMAR RAMKISHOR YADAV</t>
  </si>
  <si>
    <t xml:space="preserve">SH00056</t>
  </si>
  <si>
    <t xml:space="preserve">yadavs9987@gmail.com</t>
  </si>
  <si>
    <t xml:space="preserve">SHRUTI PARESHBHAI JADAV</t>
  </si>
  <si>
    <t xml:space="preserve">SH00057</t>
  </si>
  <si>
    <t xml:space="preserve">E-Commerce</t>
  </si>
  <si>
    <t xml:space="preserve">Ecommerce Executive</t>
  </si>
  <si>
    <t xml:space="preserve">shrutijadav24@gmail.com</t>
  </si>
  <si>
    <t xml:space="preserve">KISHORBHAI SUKABHAI VASAVA</t>
  </si>
  <si>
    <t xml:space="preserve">SH00060</t>
  </si>
  <si>
    <t xml:space="preserve">Sarin Operator</t>
  </si>
  <si>
    <t xml:space="preserve">kishor@gmail.com</t>
  </si>
  <si>
    <t xml:space="preserve">AMIT PRAVINBHAI PADARIYA</t>
  </si>
  <si>
    <t xml:space="preserve">SH00061</t>
  </si>
  <si>
    <t xml:space="preserve">padariyaamit0@gmail.com</t>
  </si>
  <si>
    <t xml:space="preserve">MAHESH CHHAGANBHAI AKBARI</t>
  </si>
  <si>
    <t xml:space="preserve">SH00063</t>
  </si>
  <si>
    <t xml:space="preserve">maheshakbari.14@gmail.com</t>
  </si>
  <si>
    <t xml:space="preserve">JAYDIPBHAI CHIMANBHAI VAJA</t>
  </si>
  <si>
    <t xml:space="preserve">SH00065</t>
  </si>
  <si>
    <t xml:space="preserve">jaydeepvaja468@gmail.com</t>
  </si>
  <si>
    <t xml:space="preserve">VINAY GUPTA LALJI</t>
  </si>
  <si>
    <t xml:space="preserve">SH00066</t>
  </si>
  <si>
    <t xml:space="preserve">Engineer</t>
  </si>
  <si>
    <t xml:space="preserve">vg14233@gmail.com</t>
  </si>
  <si>
    <t xml:space="preserve">ASHVIN LAKHAMANBHAI BARAD</t>
  </si>
  <si>
    <t xml:space="preserve">SH00067</t>
  </si>
  <si>
    <t xml:space="preserve">asvin88660@gmail.com</t>
  </si>
  <si>
    <t xml:space="preserve">KISHORBHAI BALUBHAI DOBARIYA</t>
  </si>
  <si>
    <t xml:space="preserve">SH00068</t>
  </si>
  <si>
    <t xml:space="preserve">Cleaving Manager</t>
  </si>
  <si>
    <t xml:space="preserve">dobariyakishor570@gmail.com</t>
  </si>
  <si>
    <t xml:space="preserve">PANKAJBHAI NANKUBHAI NAKRANI</t>
  </si>
  <si>
    <t xml:space="preserve">SH00069</t>
  </si>
  <si>
    <t xml:space="preserve">nakaranipankaj007@gmail.com</t>
  </si>
  <si>
    <t xml:space="preserve">GHANSHYAMBHAI RAVJIBHAI GAJERA</t>
  </si>
  <si>
    <t xml:space="preserve">SH00071</t>
  </si>
  <si>
    <t xml:space="preserve">Lot</t>
  </si>
  <si>
    <t xml:space="preserve">vaibhavgajera2300@gmail.com</t>
  </si>
  <si>
    <t xml:space="preserve">BHAVINKUMAR RAMANLAL PATEL</t>
  </si>
  <si>
    <t xml:space="preserve">SH00073</t>
  </si>
  <si>
    <t xml:space="preserve">b95688015@gmail.com</t>
  </si>
  <si>
    <t xml:space="preserve">DIVYANG JAYANTILAL PATEL</t>
  </si>
  <si>
    <t xml:space="preserve">SH00074</t>
  </si>
  <si>
    <t xml:space="preserve">Lab</t>
  </si>
  <si>
    <t xml:space="preserve">pateldivyang718@yahoo.com</t>
  </si>
  <si>
    <t xml:space="preserve">LALJIBHAI VIRJIBHAI VAGHASIYA</t>
  </si>
  <si>
    <t xml:space="preserve">SH00077</t>
  </si>
  <si>
    <t xml:space="preserve">lalajivaghasiya1@gmail.com</t>
  </si>
  <si>
    <t xml:space="preserve">CHETANBHAI CHANDUBHAI PARMAR</t>
  </si>
  <si>
    <t xml:space="preserve">SH00079</t>
  </si>
  <si>
    <t xml:space="preserve">chetanparmar8209@gmail.com</t>
  </si>
  <si>
    <t xml:space="preserve">PATHIK RAMESHBHAI PATEL</t>
  </si>
  <si>
    <t xml:space="preserve">SH00081</t>
  </si>
  <si>
    <t xml:space="preserve">Polish Department</t>
  </si>
  <si>
    <t xml:space="preserve">pathikrpatel@gmail.com</t>
  </si>
  <si>
    <t xml:space="preserve">MUKESHKUMAR DHIRUBHAI SUDANI</t>
  </si>
  <si>
    <t xml:space="preserve">SH00083</t>
  </si>
  <si>
    <t xml:space="preserve">Polish</t>
  </si>
  <si>
    <t xml:space="preserve">mukeshsudani364@gmail.com</t>
  </si>
  <si>
    <t xml:space="preserve">NARESHBHAI RAMESHBHAI SUDANI</t>
  </si>
  <si>
    <t xml:space="preserve">SH00085</t>
  </si>
  <si>
    <t xml:space="preserve">Taliya Worker</t>
  </si>
  <si>
    <t xml:space="preserve">nareshbhaisudani213@gmail.com</t>
  </si>
  <si>
    <t xml:space="preserve">HIREN HARESHBHAI CHOVATIYA</t>
  </si>
  <si>
    <t xml:space="preserve">SH00086</t>
  </si>
  <si>
    <t xml:space="preserve">hirenchovatiya105@gmail.com</t>
  </si>
  <si>
    <t xml:space="preserve">PRAVIN TULSHIRAM KURHE</t>
  </si>
  <si>
    <t xml:space="preserve">SH00087</t>
  </si>
  <si>
    <t xml:space="preserve">BOIL</t>
  </si>
  <si>
    <t xml:space="preserve">Boiler</t>
  </si>
  <si>
    <t xml:space="preserve">pravinkurhe1987@gmail.com</t>
  </si>
  <si>
    <t xml:space="preserve">VIKAS MADHUBHAI MANGAROLIYA</t>
  </si>
  <si>
    <t xml:space="preserve">SH00088</t>
  </si>
  <si>
    <t xml:space="preserve">vikasvikaspatel85@gmail.com</t>
  </si>
  <si>
    <t xml:space="preserve">SANJAYBHAI NANJIBHAI JODHANI</t>
  </si>
  <si>
    <t xml:space="preserve">SH00089</t>
  </si>
  <si>
    <t xml:space="preserve">sanjayjodhani665@gmail.com</t>
  </si>
  <si>
    <t xml:space="preserve">DHANJIBHAI BHAGWANBHAI RADADIYA</t>
  </si>
  <si>
    <t xml:space="preserve">SH00090</t>
  </si>
  <si>
    <t xml:space="preserve">radadiyadhanji@gmail.com</t>
  </si>
  <si>
    <t xml:space="preserve">KRUNAL ASHOK CHAUDHARI</t>
  </si>
  <si>
    <t xml:space="preserve">SH00093</t>
  </si>
  <si>
    <t xml:space="preserve">krunal9974185472@gmail.com</t>
  </si>
  <si>
    <t xml:space="preserve">MANSUKHBHAI BABUBHAI SAKARIYA</t>
  </si>
  <si>
    <t xml:space="preserve">SH00094</t>
  </si>
  <si>
    <t xml:space="preserve">sakriyamansukh89@gmail.com</t>
  </si>
  <si>
    <t xml:space="preserve">AJAY MANASUKHABHAI KALENA</t>
  </si>
  <si>
    <t xml:space="preserve">SH00097</t>
  </si>
  <si>
    <t xml:space="preserve">ajaymkalenaajaykalena@gmail.com</t>
  </si>
  <si>
    <t xml:space="preserve">BHAGYASHRI PRAVIN KURHE</t>
  </si>
  <si>
    <t xml:space="preserve">SH00098</t>
  </si>
  <si>
    <t xml:space="preserve">Weight Operator</t>
  </si>
  <si>
    <t xml:space="preserve">bhagyashrikurhe8@gmail.com</t>
  </si>
  <si>
    <t xml:space="preserve">KINJAL DEVENDRABHAI PATEL</t>
  </si>
  <si>
    <t xml:space="preserve">SH00099</t>
  </si>
  <si>
    <t xml:space="preserve">FINANCE</t>
  </si>
  <si>
    <t xml:space="preserve">Account Executive</t>
  </si>
  <si>
    <t xml:space="preserve">patelkinjal1104kp@gmail.com</t>
  </si>
  <si>
    <t xml:space="preserve">RAMESHBHAI PARSOTTAMBHAI THUMMAR</t>
  </si>
  <si>
    <t xml:space="preserve">SH00100</t>
  </si>
  <si>
    <t xml:space="preserve">rameshthummar187@gmail.com</t>
  </si>
  <si>
    <t xml:space="preserve">SANDIP GORADHANBHAI KATHIRIYA</t>
  </si>
  <si>
    <t xml:space="preserve">SH00103</t>
  </si>
  <si>
    <t xml:space="preserve">STOCK</t>
  </si>
  <si>
    <t xml:space="preserve">Executive Account</t>
  </si>
  <si>
    <t xml:space="preserve">kathiriyasandip21@gmail.com</t>
  </si>
  <si>
    <t xml:space="preserve">ARVINDBHAI CHHAGANBHAI GEVRIYA</t>
  </si>
  <si>
    <t xml:space="preserve">SH00105</t>
  </si>
  <si>
    <t xml:space="preserve">ABHIGEVARIYA29@GMAIL.COM</t>
  </si>
  <si>
    <t xml:space="preserve">KISHORBHAI RAMJIBHAI SAKARIYA</t>
  </si>
  <si>
    <t xml:space="preserve">SH00106</t>
  </si>
  <si>
    <t xml:space="preserve">kishorsakariya96@gmail.com</t>
  </si>
  <si>
    <t xml:space="preserve">JERAMBHAI BACHUBHAI GUNA</t>
  </si>
  <si>
    <t xml:space="preserve">SH00108</t>
  </si>
  <si>
    <t xml:space="preserve">jerambhaiguna2145@gmail.com</t>
  </si>
  <si>
    <t xml:space="preserve">KRUNALKUMAR VAJESINH RATHOD</t>
  </si>
  <si>
    <t xml:space="preserve">SH00110</t>
  </si>
  <si>
    <t xml:space="preserve">Diploma Engineer Trainee</t>
  </si>
  <si>
    <t xml:space="preserve">krunalkv2003@gmail.com</t>
  </si>
  <si>
    <t xml:space="preserve">VIVEK BHARATBHAI CHOTALIYA</t>
  </si>
  <si>
    <t xml:space="preserve">SH00111</t>
  </si>
  <si>
    <t xml:space="preserve">chotaliyavivek2017@gmail.com</t>
  </si>
  <si>
    <t xml:space="preserve">FENILKUMAR DILIPBHAI PATEL</t>
  </si>
  <si>
    <t xml:space="preserve">SH00114</t>
  </si>
  <si>
    <t xml:space="preserve">patelfenu1767@gmail.com</t>
  </si>
  <si>
    <t xml:space="preserve">RAMESHBHAI BALUBHAI CHOVATIYA</t>
  </si>
  <si>
    <t xml:space="preserve">SH00116</t>
  </si>
  <si>
    <t xml:space="preserve">rameshchovatiya16@gmail.com</t>
  </si>
  <si>
    <t xml:space="preserve">SURESHBHAI MANUBHAI GOLAVIYA</t>
  </si>
  <si>
    <t xml:space="preserve">SH00117</t>
  </si>
  <si>
    <t xml:space="preserve">golaviyasureshbhai@gmail.com</t>
  </si>
  <si>
    <t xml:space="preserve">YOGESHBHAI RAMESHBHAI AHIR</t>
  </si>
  <si>
    <t xml:space="preserve">SH00119</t>
  </si>
  <si>
    <t xml:space="preserve">Deputy Manager - Lab</t>
  </si>
  <si>
    <t xml:space="preserve">DMLAB.2@SUPERHARD.COM</t>
  </si>
  <si>
    <t xml:space="preserve">PINTUBHAI BIPINBHAI MATRAVADIYA</t>
  </si>
  <si>
    <t xml:space="preserve">SH00121</t>
  </si>
  <si>
    <t xml:space="preserve">Russian Bruter Worker</t>
  </si>
  <si>
    <t xml:space="preserve">pintumatravadiya1@gmail.com</t>
  </si>
  <si>
    <t xml:space="preserve">SAURABH RAJENDRAKUMAR UPADHYAY</t>
  </si>
  <si>
    <t xml:space="preserve">SH00123</t>
  </si>
  <si>
    <t xml:space="preserve">saurabhuapdhyay772@gmail.com</t>
  </si>
  <si>
    <t xml:space="preserve">PINTU RAGHAVBHAI PIROJIYA</t>
  </si>
  <si>
    <t xml:space="preserve">SH00124</t>
  </si>
  <si>
    <t xml:space="preserve">Ppatel210384@gmail.com</t>
  </si>
  <si>
    <t xml:space="preserve">DEVKUMAR HARISHBHAI RAVALIYA</t>
  </si>
  <si>
    <t xml:space="preserve">SH00128</t>
  </si>
  <si>
    <t xml:space="preserve">Technician</t>
  </si>
  <si>
    <t xml:space="preserve">rawaldev17@gmail.com</t>
  </si>
  <si>
    <t xml:space="preserve">JENIS PARSOTAMBHAI PATEL</t>
  </si>
  <si>
    <t xml:space="preserve">SH00129</t>
  </si>
  <si>
    <t xml:space="preserve">pateljenish2642000@gmail.com</t>
  </si>
  <si>
    <t xml:space="preserve">PRAKASHBHAI UDAYBHAI SHARMA</t>
  </si>
  <si>
    <t xml:space="preserve">SH00132</t>
  </si>
  <si>
    <t xml:space="preserve">prakashsharma07698@gmail.com</t>
  </si>
  <si>
    <t xml:space="preserve">AJAY AVINASH JUNJURAV</t>
  </si>
  <si>
    <t xml:space="preserve">SH00133</t>
  </si>
  <si>
    <t xml:space="preserve">ajayavinash0878@gmail.com</t>
  </si>
  <si>
    <t xml:space="preserve">LALIT PRAVINBHAI CHOTHANI</t>
  </si>
  <si>
    <t xml:space="preserve">SH00134</t>
  </si>
  <si>
    <t xml:space="preserve">lalitchothani5657@gmail.com</t>
  </si>
  <si>
    <t xml:space="preserve">RANJANA SUNIL TANDALEKAR</t>
  </si>
  <si>
    <t xml:space="preserve">SH00135</t>
  </si>
  <si>
    <t xml:space="preserve">ranjanathadlekar@gmail.com</t>
  </si>
  <si>
    <t xml:space="preserve">BHAVESHBHAI GOGANBHAI SAVALIYA</t>
  </si>
  <si>
    <t xml:space="preserve">SH00138</t>
  </si>
  <si>
    <t xml:space="preserve">savliyabhaveshbhai@gmail.com</t>
  </si>
  <si>
    <t xml:space="preserve">UMESHBHAI HARIBHAI JOGANI</t>
  </si>
  <si>
    <t xml:space="preserve">SH00142</t>
  </si>
  <si>
    <t xml:space="preserve">sonaljogani96@gmail.com</t>
  </si>
  <si>
    <t xml:space="preserve">VELAJIBHAI DIYALBHAI PALADIYA</t>
  </si>
  <si>
    <t xml:space="preserve">SH00143</t>
  </si>
  <si>
    <t xml:space="preserve">paladiyaparul5@gmail.com</t>
  </si>
  <si>
    <t xml:space="preserve">GHANSHYAMBHAI BABUBHAI DUDHAT</t>
  </si>
  <si>
    <t xml:space="preserve">SH00147</t>
  </si>
  <si>
    <t xml:space="preserve">Round Worker</t>
  </si>
  <si>
    <t xml:space="preserve">ghanshyambhaidudhat274@gmail.com</t>
  </si>
  <si>
    <t xml:space="preserve">HIMMTABHAI NARSHIBHAI BHATTI</t>
  </si>
  <si>
    <t xml:space="preserve">SH00149</t>
  </si>
  <si>
    <t xml:space="preserve">Bhattihimmat8@gmail.com</t>
  </si>
  <si>
    <t xml:space="preserve">NILESH NARANBHAI PARMAR</t>
  </si>
  <si>
    <t xml:space="preserve">SH00154</t>
  </si>
  <si>
    <t xml:space="preserve">parmarnilesh9797@gmail.com</t>
  </si>
  <si>
    <t xml:space="preserve">SHREEPAT DAULAT BHAVE</t>
  </si>
  <si>
    <t xml:space="preserve">SH00159</t>
  </si>
  <si>
    <t xml:space="preserve">shreepat@gmail.com</t>
  </si>
  <si>
    <t xml:space="preserve">HEMA NAGENDAR PANDEY</t>
  </si>
  <si>
    <t xml:space="preserve">SH00160</t>
  </si>
  <si>
    <t xml:space="preserve">Production Worker</t>
  </si>
  <si>
    <t xml:space="preserve">pandeynagendra331@gmail.com</t>
  </si>
  <si>
    <t xml:space="preserve">NAYAN BHARATBHAI PATEL</t>
  </si>
  <si>
    <t xml:space="preserve">SH00161</t>
  </si>
  <si>
    <t xml:space="preserve">pnayansays@gmail.com</t>
  </si>
  <si>
    <t xml:space="preserve">SUSHMITA DEY</t>
  </si>
  <si>
    <t xml:space="preserve">SH00162</t>
  </si>
  <si>
    <t xml:space="preserve">R&amp;D</t>
  </si>
  <si>
    <t xml:space="preserve">Resarch Scientist</t>
  </si>
  <si>
    <t xml:space="preserve">sushmita@superhardgroup.com</t>
  </si>
  <si>
    <t xml:space="preserve">PRADEEP RAMCHANDRA MALI</t>
  </si>
  <si>
    <t xml:space="preserve">SH00163</t>
  </si>
  <si>
    <t xml:space="preserve">pradeepmali1415@gmail.com</t>
  </si>
  <si>
    <t xml:space="preserve">VITTHALBHAI SAVJIBHAI KANPARIYA</t>
  </si>
  <si>
    <t xml:space="preserve">SH00164</t>
  </si>
  <si>
    <t xml:space="preserve">vithhalbhaikanpariya@gmail.com</t>
  </si>
  <si>
    <t xml:space="preserve">GORDHANBHAI HARDASBHAI KHUNT</t>
  </si>
  <si>
    <t xml:space="preserve">SH00167</t>
  </si>
  <si>
    <t xml:space="preserve">gordhankhunt8053@gmail.com</t>
  </si>
  <si>
    <t xml:space="preserve">ANIL RAMESHBHAI GUNA</t>
  </si>
  <si>
    <t xml:space="preserve">SH00168</t>
  </si>
  <si>
    <t xml:space="preserve">Microscope Operator</t>
  </si>
  <si>
    <t xml:space="preserve">gunaanil99@gmail.com</t>
  </si>
  <si>
    <t xml:space="preserve">SHAILESHBHAI DHANJIBHAI DESAI</t>
  </si>
  <si>
    <t xml:space="preserve">SH00169</t>
  </si>
  <si>
    <t xml:space="preserve">sdesaid91@gmail.com</t>
  </si>
  <si>
    <t xml:space="preserve">PRAFULBHAI DHIRUBHAI DESAI</t>
  </si>
  <si>
    <t xml:space="preserve">SH00172</t>
  </si>
  <si>
    <t xml:space="preserve">dpraful07@gmail.com</t>
  </si>
  <si>
    <t xml:space="preserve">HARSHADBHAI THAKARSHIBHAI SAVALIYA</t>
  </si>
  <si>
    <t xml:space="preserve">SH00174</t>
  </si>
  <si>
    <t xml:space="preserve">savaliyaharshad43@gmail.com</t>
  </si>
  <si>
    <t xml:space="preserve">BHARGAV ASHOKBHAI CHALODIYA</t>
  </si>
  <si>
    <t xml:space="preserve">SH00175</t>
  </si>
  <si>
    <t xml:space="preserve">chalodiyabhargav@gmail.com</t>
  </si>
  <si>
    <t xml:space="preserve">ASHVIN GUNVANTBHAI GAJERA</t>
  </si>
  <si>
    <t xml:space="preserve">SH00179</t>
  </si>
  <si>
    <t xml:space="preserve">Plant</t>
  </si>
  <si>
    <t xml:space="preserve">Sr. Engineer</t>
  </si>
  <si>
    <t xml:space="preserve">gajera.ashvin15@gmail.com</t>
  </si>
  <si>
    <t xml:space="preserve">RAMAKANT HARINATH TIWARI</t>
  </si>
  <si>
    <t xml:space="preserve">SH00180</t>
  </si>
  <si>
    <t xml:space="preserve">ramakantiwaru9@gmail.com</t>
  </si>
  <si>
    <t xml:space="preserve">PRIYA AMIT RAMANI</t>
  </si>
  <si>
    <t xml:space="preserve">SH00182</t>
  </si>
  <si>
    <t xml:space="preserve">amitramani437@gmail.com</t>
  </si>
  <si>
    <t xml:space="preserve">PREETI SOORAJBHAN SHUKLA</t>
  </si>
  <si>
    <t xml:space="preserve">SH00183</t>
  </si>
  <si>
    <t xml:space="preserve">preetishukla5871@gmail.com</t>
  </si>
  <si>
    <t xml:space="preserve">URMILA ANIL PANDEY</t>
  </si>
  <si>
    <t xml:space="preserve">SH00184</t>
  </si>
  <si>
    <t xml:space="preserve">pandayurmila867@gmail.com</t>
  </si>
  <si>
    <t xml:space="preserve">DARSHIL MUKESHBHAI AHIR</t>
  </si>
  <si>
    <t xml:space="preserve">SH00185</t>
  </si>
  <si>
    <t xml:space="preserve">darshilahir3101@gmail.com</t>
  </si>
  <si>
    <t xml:space="preserve">ABHISHEK RASIKBHAI PATEL</t>
  </si>
  <si>
    <t xml:space="preserve">SH00186</t>
  </si>
  <si>
    <t xml:space="preserve">Jr. Lab Maintenance</t>
  </si>
  <si>
    <t xml:space="preserve">abhipatel310@gmail.com</t>
  </si>
  <si>
    <t xml:space="preserve">PARESH OGHADBHAI JOLIYA</t>
  </si>
  <si>
    <t xml:space="preserve">SH00188</t>
  </si>
  <si>
    <t xml:space="preserve">joliyaparesh72@gmail.com</t>
  </si>
  <si>
    <t xml:space="preserve">DIVYESHKUMAR GORDHANBHAI BHAKHAR</t>
  </si>
  <si>
    <t xml:space="preserve">SH00191</t>
  </si>
  <si>
    <t xml:space="preserve">Sr. Engineer Maintenance Lab</t>
  </si>
  <si>
    <t xml:space="preserve">bhakhardivyesh1993@gmail.com</t>
  </si>
  <si>
    <t xml:space="preserve">DIXITKUMAR KANUBHAI PATEL</t>
  </si>
  <si>
    <t xml:space="preserve">SH00194</t>
  </si>
  <si>
    <t xml:space="preserve">Manager Maintenance</t>
  </si>
  <si>
    <t xml:space="preserve">er.pateldixit94@gmail.com</t>
  </si>
  <si>
    <t xml:space="preserve">SHAILESHBHAI JAYANTIBHAI SUDANI</t>
  </si>
  <si>
    <t xml:space="preserve">SH00195</t>
  </si>
  <si>
    <t xml:space="preserve">shaileshsudani779@gmail.com</t>
  </si>
  <si>
    <t xml:space="preserve">BHAVIN NARANBHAI GAMBHAVA</t>
  </si>
  <si>
    <t xml:space="preserve">SH00198</t>
  </si>
  <si>
    <t xml:space="preserve">bhavin.gambhava35@gmail.com</t>
  </si>
  <si>
    <t xml:space="preserve">MUKESHBHAI BABUBHAI DOBARIYA</t>
  </si>
  <si>
    <t xml:space="preserve">SH00200</t>
  </si>
  <si>
    <t xml:space="preserve">mukeshbdobariya5@gmail.com</t>
  </si>
  <si>
    <t xml:space="preserve">SHEKHAR RAJESH PANDEY</t>
  </si>
  <si>
    <t xml:space="preserve">SH00203</t>
  </si>
  <si>
    <t xml:space="preserve">Driver</t>
  </si>
  <si>
    <t xml:space="preserve">sp161728@gmail.com</t>
  </si>
  <si>
    <t xml:space="preserve">HEMANT VINAYAK KEGADE</t>
  </si>
  <si>
    <t xml:space="preserve">SH00204</t>
  </si>
  <si>
    <t xml:space="preserve">Accountant</t>
  </si>
  <si>
    <t xml:space="preserve">kegade.hemant@yahoo.com</t>
  </si>
  <si>
    <t xml:space="preserve">SANGITABAI SAHEBRAO SHIRSATH</t>
  </si>
  <si>
    <t xml:space="preserve">SH00205</t>
  </si>
  <si>
    <t xml:space="preserve">sangitabai@gmail.com</t>
  </si>
  <si>
    <t xml:space="preserve">VINODKUMAR KAPOORCHAND YADAV</t>
  </si>
  <si>
    <t xml:space="preserve">SH00207</t>
  </si>
  <si>
    <t xml:space="preserve">yadavvks@yahoo.com</t>
  </si>
  <si>
    <t xml:space="preserve">SANDIP RAMCHANDRA MALI</t>
  </si>
  <si>
    <t xml:space="preserve">SH00208</t>
  </si>
  <si>
    <t xml:space="preserve">sandeepmali729@gmail.com</t>
  </si>
  <si>
    <t xml:space="preserve">BHARATKUMAR RAMANLAL PATEL</t>
  </si>
  <si>
    <t xml:space="preserve">SH00210</t>
  </si>
  <si>
    <t xml:space="preserve">bhartbhai1962@gmail.com</t>
  </si>
  <si>
    <t xml:space="preserve">AAKASH SIYARAM YADAV</t>
  </si>
  <si>
    <t xml:space="preserve">SH00213</t>
  </si>
  <si>
    <t xml:space="preserve">aakashyadavup2003@gmail.com</t>
  </si>
  <si>
    <t xml:space="preserve">MEHULKUMAR ASHOKBHAI KABARIYA</t>
  </si>
  <si>
    <t xml:space="preserve">SH00215</t>
  </si>
  <si>
    <t xml:space="preserve">Fancy department</t>
  </si>
  <si>
    <t xml:space="preserve">mek738@gmail.com</t>
  </si>
  <si>
    <t xml:space="preserve">CHANDRIKABEN HASMUKHBHAI KANPARIYA</t>
  </si>
  <si>
    <t xml:space="preserve">SH00217</t>
  </si>
  <si>
    <t xml:space="preserve">chandrika@gmail.com</t>
  </si>
  <si>
    <t xml:space="preserve">HASMUKHBHAI RAVJIBHAI KANPARIYA</t>
  </si>
  <si>
    <t xml:space="preserve">SH00218</t>
  </si>
  <si>
    <t xml:space="preserve">CMO</t>
  </si>
  <si>
    <t xml:space="preserve">hasmukh.kanpariya357@gmail.com</t>
  </si>
  <si>
    <t xml:space="preserve">RAVIBHAI SAVJIBHAI MELAGIYA</t>
  </si>
  <si>
    <t xml:space="preserve">SH00221</t>
  </si>
  <si>
    <t xml:space="preserve">rajal704689@gmail.com</t>
  </si>
  <si>
    <t xml:space="preserve">RAJESHBHAI RAVJIBHAI GAJERA</t>
  </si>
  <si>
    <t xml:space="preserve">SH00222</t>
  </si>
  <si>
    <t xml:space="preserve">gajerarajeshk217@gmail.com</t>
  </si>
  <si>
    <t xml:space="preserve">DHARMENDRA BABUBHAI KANANI</t>
  </si>
  <si>
    <t xml:space="preserve">SH00223</t>
  </si>
  <si>
    <t xml:space="preserve">dharmeshkanani11@gmail.com</t>
  </si>
  <si>
    <t xml:space="preserve">SANIKUMAR HASMUKHBHAI PATEL</t>
  </si>
  <si>
    <t xml:space="preserve">SH00227</t>
  </si>
  <si>
    <t xml:space="preserve">Assistant Technician Trainee</t>
  </si>
  <si>
    <t xml:space="preserve">sypatel20101912@gmail.com</t>
  </si>
  <si>
    <t xml:space="preserve">DIVYESHBHAI RAMESHBHAI TALA</t>
  </si>
  <si>
    <t xml:space="preserve">SH00230</t>
  </si>
  <si>
    <t xml:space="preserve">Taladivyesh2@gmail.com</t>
  </si>
  <si>
    <t xml:space="preserve">SACHINBHAI R GONDALIYA</t>
  </si>
  <si>
    <t xml:space="preserve">SH00231</t>
  </si>
  <si>
    <t xml:space="preserve">LAB ASSISTANT</t>
  </si>
  <si>
    <t xml:space="preserve">gondaliyasachin@gmail.com</t>
  </si>
  <si>
    <t xml:space="preserve">ALAGURAJA V</t>
  </si>
  <si>
    <t xml:space="preserve">SH00232</t>
  </si>
  <si>
    <t xml:space="preserve">MATERIAL SCIENTIST</t>
  </si>
  <si>
    <t xml:space="preserve">vaalaguraja1996@gmail.com</t>
  </si>
  <si>
    <t xml:space="preserve">AKSHAY D MAHAJAN</t>
  </si>
  <si>
    <t xml:space="preserve">SH00233</t>
  </si>
  <si>
    <t xml:space="preserve">mahajanakshay818@gmail.com</t>
  </si>
  <si>
    <t xml:space="preserve">ARUP B DAS</t>
  </si>
  <si>
    <t xml:space="preserve">SH00234</t>
  </si>
  <si>
    <t xml:space="preserve">APPLICATION ENGINEER</t>
  </si>
  <si>
    <t xml:space="preserve">darup101@gmail.com</t>
  </si>
  <si>
    <t xml:space="preserve">PINKAL THAKOR</t>
  </si>
  <si>
    <t xml:space="preserve">SH00235</t>
  </si>
  <si>
    <t xml:space="preserve">Assistant Production Manager</t>
  </si>
  <si>
    <t xml:space="preserve">thakurpinkal77@gmail.com</t>
  </si>
  <si>
    <t xml:space="preserve">JANMESHKUMAR NILESHKUMAR GANDHI</t>
  </si>
  <si>
    <t xml:space="preserve">SH00236</t>
  </si>
  <si>
    <t xml:space="preserve">Trainee</t>
  </si>
  <si>
    <t xml:space="preserve">janmeshgandhi25@gmail.com</t>
  </si>
  <si>
    <t xml:space="preserve">PRAKASH SAKHARAM BHUVAD</t>
  </si>
  <si>
    <t xml:space="preserve">SH00238</t>
  </si>
  <si>
    <t xml:space="preserve">prakashb2012@gmail.com</t>
  </si>
  <si>
    <t xml:space="preserve">AARTESH SHEKHAR SINGH</t>
  </si>
  <si>
    <t xml:space="preserve">SH00239</t>
  </si>
  <si>
    <t xml:space="preserve">Product Development Engineer</t>
  </si>
  <si>
    <t xml:space="preserve">shekharaartesh@gmail.com</t>
  </si>
  <si>
    <t xml:space="preserve">ABHIJEET VIVEK KOTHARI</t>
  </si>
  <si>
    <t xml:space="preserve">SH00240</t>
  </si>
  <si>
    <t xml:space="preserve">abhivk2512@gmail.com</t>
  </si>
  <si>
    <t xml:space="preserve">HINAL SHAILESHKUMAR PRAJAPATI</t>
  </si>
  <si>
    <t xml:space="preserve">SH00243</t>
  </si>
  <si>
    <t xml:space="preserve">HR</t>
  </si>
  <si>
    <t xml:space="preserve">Sr. Executive HR</t>
  </si>
  <si>
    <t xml:space="preserve">hinalprajapati232@gmail.com</t>
  </si>
  <si>
    <t xml:space="preserve">CHETAN BHAGWANBHAI KHAIRNAR</t>
  </si>
  <si>
    <t xml:space="preserve">SH00245</t>
  </si>
  <si>
    <t xml:space="preserve">chetankhairnar166@gmail.com</t>
  </si>
  <si>
    <t xml:space="preserve">MAHENDRA RAJ BAHADUR SINGH SINGH</t>
  </si>
  <si>
    <t xml:space="preserve">SH00246</t>
  </si>
  <si>
    <t xml:space="preserve">mahendasingh1985@gmail.com</t>
  </si>
  <si>
    <t xml:space="preserve">SONU RAM KHELAVAN PAL</t>
  </si>
  <si>
    <t xml:space="preserve">SH00247</t>
  </si>
  <si>
    <t xml:space="preserve">sp2469825@gmail.com</t>
  </si>
  <si>
    <t xml:space="preserve">ATRI KUMAR BHAVIN KUMAR PATEL</t>
  </si>
  <si>
    <t xml:space="preserve">SH00248</t>
  </si>
  <si>
    <t xml:space="preserve">PROCESS ENGINEER</t>
  </si>
  <si>
    <t xml:space="preserve">atripatel.ap@gmail.com</t>
  </si>
  <si>
    <t xml:space="preserve">ANIL MOTILAL MALI</t>
  </si>
  <si>
    <t xml:space="preserve">SH00250</t>
  </si>
  <si>
    <t xml:space="preserve">Boiling</t>
  </si>
  <si>
    <t xml:space="preserve">Anilbhaimali50@gmail.com</t>
  </si>
  <si>
    <t xml:space="preserve">FREDRIC CHRISTOPHER REBEIRO</t>
  </si>
  <si>
    <t xml:space="preserve">SH00255</t>
  </si>
  <si>
    <t xml:space="preserve">REBEIROFREDRIC70@GMAIL.COM</t>
  </si>
  <si>
    <t xml:space="preserve">PRIYANSH AJAY SONI</t>
  </si>
  <si>
    <t xml:space="preserve">SH00257</t>
  </si>
  <si>
    <t xml:space="preserve">PRIYANSHSONI14@YAHOO.COM</t>
  </si>
  <si>
    <t xml:space="preserve">SAPNA BAROT</t>
  </si>
  <si>
    <t xml:space="preserve">SH00259</t>
  </si>
  <si>
    <t xml:space="preserve">HR and Admin</t>
  </si>
  <si>
    <t xml:space="preserve">Executive Assistant</t>
  </si>
  <si>
    <t xml:space="preserve">SAPNANAIR91@GMAIL.COM</t>
  </si>
  <si>
    <t xml:space="preserve">NITIN CHUNILAL GAJERA</t>
  </si>
  <si>
    <t xml:space="preserve">SH00269</t>
  </si>
  <si>
    <t xml:space="preserve">MANAGEMENT</t>
  </si>
  <si>
    <t xml:space="preserve">Managing Director</t>
  </si>
  <si>
    <t xml:space="preserve">nitin@superhard.com</t>
  </si>
  <si>
    <t xml:space="preserve">REEMA AJAY JAISWAL</t>
  </si>
  <si>
    <t xml:space="preserve">SH00270</t>
  </si>
  <si>
    <t xml:space="preserve">Sr. Executive Banking</t>
  </si>
  <si>
    <t xml:space="preserve">RIMAJAISWAL.SURAT@GMAIL.COM</t>
  </si>
  <si>
    <t xml:space="preserve">NILESHBHAI CHHAGANBHAI PADARIYA</t>
  </si>
  <si>
    <t xml:space="preserve">SH00271</t>
  </si>
  <si>
    <t xml:space="preserve">padariyanilesh100@gmail.com</t>
  </si>
  <si>
    <t xml:space="preserve">NAEEM ISMAIL SHAIKH</t>
  </si>
  <si>
    <t xml:space="preserve">SH00273</t>
  </si>
  <si>
    <t xml:space="preserve">Assistant Technician</t>
  </si>
  <si>
    <t xml:space="preserve">NAIMSHAIKH7437@GMAIL.COM</t>
  </si>
  <si>
    <t xml:space="preserve">NIKHIL AGGARWAL</t>
  </si>
  <si>
    <t xml:space="preserve">SH00275</t>
  </si>
  <si>
    <t xml:space="preserve">NIKHIL9173449668@GMAIL.COM</t>
  </si>
  <si>
    <t xml:space="preserve">MANISHA ISHVAR LOHAR</t>
  </si>
  <si>
    <t xml:space="preserve">SH00277</t>
  </si>
  <si>
    <t xml:space="preserve">manisha@gmail.com</t>
  </si>
  <si>
    <t xml:space="preserve">PIYUSH GHANSHYAMBHAI MESHIYA</t>
  </si>
  <si>
    <t xml:space="preserve">SH00278</t>
  </si>
  <si>
    <t xml:space="preserve">piyush@gmail.com</t>
  </si>
  <si>
    <t xml:space="preserve">SAMIRPARI RAMESHPARI GAUSWAMI</t>
  </si>
  <si>
    <t xml:space="preserve">SH00279</t>
  </si>
  <si>
    <t xml:space="preserve">Site Supervisor</t>
  </si>
  <si>
    <t xml:space="preserve">SAMIRPARI008@GMAIL.COM</t>
  </si>
  <si>
    <t xml:space="preserve">VRAJESH HEMANTKUMAR MEHTA</t>
  </si>
  <si>
    <t xml:space="preserve">SH00280</t>
  </si>
  <si>
    <t xml:space="preserve">Assistant Manager Admin</t>
  </si>
  <si>
    <t xml:space="preserve">vrajesh.m@superhard.com</t>
  </si>
  <si>
    <t xml:space="preserve">SUJIT RAM MILAN</t>
  </si>
  <si>
    <t xml:space="preserve">SH00282</t>
  </si>
  <si>
    <t xml:space="preserve">sujit@gmail.com</t>
  </si>
  <si>
    <t xml:space="preserve">HALKEEBAHU</t>
  </si>
  <si>
    <t xml:space="preserve">SH00283</t>
  </si>
  <si>
    <t xml:space="preserve">halkeebahu@gmail.com</t>
  </si>
  <si>
    <t xml:space="preserve">RAJKUMARI HAKU YADAV</t>
  </si>
  <si>
    <t xml:space="preserve">SH00284</t>
  </si>
  <si>
    <t xml:space="preserve">rajkumari@gmail.com</t>
  </si>
  <si>
    <t xml:space="preserve">NIRUBEN BHARATBHAI RATHOD</t>
  </si>
  <si>
    <t xml:space="preserve">SH00285</t>
  </si>
  <si>
    <t xml:space="preserve">niruben@gmail.com</t>
  </si>
  <si>
    <t xml:space="preserve">SUREKHABEN MANESHBHAI KATARA</t>
  </si>
  <si>
    <t xml:space="preserve">SH00286</t>
  </si>
  <si>
    <t xml:space="preserve">surekhaben@gmail.com</t>
  </si>
  <si>
    <t xml:space="preserve">AKSHAYKUMAR HARISHBHAI PATEL</t>
  </si>
  <si>
    <t xml:space="preserve">SH00287</t>
  </si>
  <si>
    <t xml:space="preserve">Machine Operator</t>
  </si>
  <si>
    <t xml:space="preserve">AP6517554@GMAIL.COM</t>
  </si>
  <si>
    <t xml:space="preserve">DIVYESHKUMAR ISHVARBHAI PATEL</t>
  </si>
  <si>
    <t xml:space="preserve">SH00290</t>
  </si>
  <si>
    <t xml:space="preserve">DIVYESH8401919@GMAIL.COM</t>
  </si>
  <si>
    <t xml:space="preserve">SANJAYKUMAR MAGANBHAI VEKARIYA</t>
  </si>
  <si>
    <t xml:space="preserve">SH00291</t>
  </si>
  <si>
    <t xml:space="preserve">SANJAY.VEKARIYA1989@GMAIL.COM</t>
  </si>
  <si>
    <t xml:space="preserve">DIPALI ISHWAR LOHAR</t>
  </si>
  <si>
    <t xml:space="preserve">SH00292</t>
  </si>
  <si>
    <t xml:space="preserve">dipali@gmail.com</t>
  </si>
  <si>
    <t xml:space="preserve">DURGESHKUMAR DEVIDYAL TIWARI</t>
  </si>
  <si>
    <t xml:space="preserve">SH00294</t>
  </si>
  <si>
    <t xml:space="preserve">Security Guard</t>
  </si>
  <si>
    <t xml:space="preserve">durgeshkumar@gmail.com</t>
  </si>
  <si>
    <t xml:space="preserve">RAJKUMAR SHIVKUMAR RAJAK</t>
  </si>
  <si>
    <t xml:space="preserve">SH00295</t>
  </si>
  <si>
    <t xml:space="preserve">RAJKUMARRAJAK963852@GMAIL.COM</t>
  </si>
  <si>
    <t xml:space="preserve">SURAJ CHEDILAL PRAJAPATI</t>
  </si>
  <si>
    <t xml:space="preserve">SH00299</t>
  </si>
  <si>
    <t xml:space="preserve">SURAJPRAJAPATI896@GMAIL.COM</t>
  </si>
  <si>
    <t xml:space="preserve">KARSHANBHAI RAMESHBHAI MAKWANA</t>
  </si>
  <si>
    <t xml:space="preserve">SH00301</t>
  </si>
  <si>
    <t xml:space="preserve">Boil Worker</t>
  </si>
  <si>
    <t xml:space="preserve">GHANSHYAM GORADHANBHAI KATHIRIYA</t>
  </si>
  <si>
    <t xml:space="preserve">SH00305</t>
  </si>
  <si>
    <t xml:space="preserve">Stock Manager</t>
  </si>
  <si>
    <t xml:space="preserve">GHANSHYAM1995GK@GMAIL.COM</t>
  </si>
  <si>
    <t xml:space="preserve">ANUP SHUKLA</t>
  </si>
  <si>
    <t xml:space="preserve">SH00306</t>
  </si>
  <si>
    <t xml:space="preserve">SHUKLAANUP341@GMAIL.COM</t>
  </si>
  <si>
    <t xml:space="preserve">KRISHNA HARESHBHAI BHATT</t>
  </si>
  <si>
    <t xml:space="preserve">SH00307</t>
  </si>
  <si>
    <t xml:space="preserve">LEGAL</t>
  </si>
  <si>
    <t xml:space="preserve">Company Secretary</t>
  </si>
  <si>
    <t xml:space="preserve">BHATTKRISHNA215@GMAIL.COM</t>
  </si>
  <si>
    <t xml:space="preserve">SALONI SUNILBHAI TANDALEKAR</t>
  </si>
  <si>
    <t xml:space="preserve">SH00310</t>
  </si>
  <si>
    <t xml:space="preserve">salonitandlekar@gmail.com</t>
  </si>
  <si>
    <t xml:space="preserve">SOURAV SARKAR</t>
  </si>
  <si>
    <t xml:space="preserve">SH00311</t>
  </si>
  <si>
    <t xml:space="preserve">Operations</t>
  </si>
  <si>
    <t xml:space="preserve">Operation Manager</t>
  </si>
  <si>
    <t xml:space="preserve">87SOURAVSARKAR@GMAIL.COM</t>
  </si>
  <si>
    <t xml:space="preserve">LALJIBHAI DHIRUBHAI SUDANI</t>
  </si>
  <si>
    <t xml:space="preserve">SH00312</t>
  </si>
  <si>
    <t xml:space="preserve">LALJISUDANI@GMAIL.COM</t>
  </si>
  <si>
    <t xml:space="preserve">HARSHIL MUKESHBHAI KATHIRIYA</t>
  </si>
  <si>
    <t xml:space="preserve">SH00313</t>
  </si>
  <si>
    <t xml:space="preserve">KATHIRIYAHARSHIL804@GMAIL.COM</t>
  </si>
  <si>
    <t xml:space="preserve">KARAN KANTIBHAI CHHAYANI</t>
  </si>
  <si>
    <t xml:space="preserve">SH00315</t>
  </si>
  <si>
    <t xml:space="preserve">CHHAYANIKARAN93@GMAIL.COM</t>
  </si>
  <si>
    <t xml:space="preserve">MEETKUMAR BHAVESHBHAI SAVALIYA</t>
  </si>
  <si>
    <t xml:space="preserve">SH00317</t>
  </si>
  <si>
    <t xml:space="preserve">MEETMEETSAVALIYA@GMAIL.COM</t>
  </si>
  <si>
    <t xml:space="preserve">MIT BHARATBHAI NAKRANI</t>
  </si>
  <si>
    <t xml:space="preserve">SH00320</t>
  </si>
  <si>
    <t xml:space="preserve">MITNAKRANI03@GMAIL.COM</t>
  </si>
  <si>
    <t xml:space="preserve">SANDEEP DHARMRAJ VERMA</t>
  </si>
  <si>
    <t xml:space="preserve">SH00324</t>
  </si>
  <si>
    <t xml:space="preserve">SB683554@GMAIL.COM</t>
  </si>
  <si>
    <t xml:space="preserve">ADITYA TRILOKI SINGH</t>
  </si>
  <si>
    <t xml:space="preserve">SH00325</t>
  </si>
  <si>
    <t xml:space="preserve">Executive Store</t>
  </si>
  <si>
    <t xml:space="preserve">adityasinghsingh547@gmail.com</t>
  </si>
  <si>
    <t xml:space="preserve">SANDIPBHAI BAVCHANDBHAI KACHHADIYA</t>
  </si>
  <si>
    <t xml:space="preserve">SH00326</t>
  </si>
  <si>
    <t xml:space="preserve">KACHHADIYASANDIP937@GMAIL.COM</t>
  </si>
  <si>
    <t xml:space="preserve">PRAVINBHAI BHIKHABHAI RATHOD</t>
  </si>
  <si>
    <t xml:space="preserve">SH00329</t>
  </si>
  <si>
    <t xml:space="preserve">PRRATHODRATHOD@GMAIL.COM</t>
  </si>
  <si>
    <t xml:space="preserve">AJAY THEKEDAR SINGH</t>
  </si>
  <si>
    <t xml:space="preserve">SH00333</t>
  </si>
  <si>
    <t xml:space="preserve">ASI064421@GMAIL.COM</t>
  </si>
  <si>
    <t xml:space="preserve">SUNITABAI MANGAL AHIRE</t>
  </si>
  <si>
    <t xml:space="preserve">SH00335</t>
  </si>
  <si>
    <t xml:space="preserve">tusharmahire77@gmail.com</t>
  </si>
  <si>
    <t xml:space="preserve">VIKAS RADHERAMANBHAI PANDEY</t>
  </si>
  <si>
    <t xml:space="preserve">SH00336</t>
  </si>
  <si>
    <t xml:space="preserve">VP8224868@GMAIL.COM</t>
  </si>
  <si>
    <t xml:space="preserve">MILIN MAHESHBHAI THAKOR</t>
  </si>
  <si>
    <t xml:space="preserve">SH00338</t>
  </si>
  <si>
    <t xml:space="preserve">Human Resource</t>
  </si>
  <si>
    <t xml:space="preserve">Assistanat Manager - C&amp;B -HO</t>
  </si>
  <si>
    <t xml:space="preserve">MILLINTHAKOR@GMAIL.COM</t>
  </si>
  <si>
    <t xml:space="preserve">GIRISHBHAI DHANSUKHBHAI PATEL</t>
  </si>
  <si>
    <t xml:space="preserve">SH00340</t>
  </si>
  <si>
    <t xml:space="preserve">GIRISHPATEL99833@GMAIL.COM</t>
  </si>
  <si>
    <t xml:space="preserve">DEEPKUMAR MAHESHBHAI PATEL</t>
  </si>
  <si>
    <t xml:space="preserve">SH00341</t>
  </si>
  <si>
    <t xml:space="preserve">PATELDEEP27053@GMAIL.COM</t>
  </si>
  <si>
    <t xml:space="preserve">ADITIKUMARI SATYENDRA SINGH</t>
  </si>
  <si>
    <t xml:space="preserve">SH00342</t>
  </si>
  <si>
    <t xml:space="preserve">Cleaving Worker</t>
  </si>
  <si>
    <t xml:space="preserve">RAJSRKAR4@GMAIL.COM</t>
  </si>
  <si>
    <t xml:space="preserve">NIMESHKUMAR KANTIBHAI PATEL</t>
  </si>
  <si>
    <t xml:space="preserve">SH00343</t>
  </si>
  <si>
    <t xml:space="preserve">nimeshkumar@gmail.com</t>
  </si>
  <si>
    <t xml:space="preserve">NANALAL RUPLAL PALIWAL</t>
  </si>
  <si>
    <t xml:space="preserve">SH00346</t>
  </si>
  <si>
    <t xml:space="preserve">Chef</t>
  </si>
  <si>
    <t xml:space="preserve">nanalal@gmail.com</t>
  </si>
  <si>
    <t xml:space="preserve">DAXESH DIPAKBHAI DABGAR</t>
  </si>
  <si>
    <t xml:space="preserve">SH00347</t>
  </si>
  <si>
    <t xml:space="preserve">Manager - HR</t>
  </si>
  <si>
    <t xml:space="preserve">DAX.DABGARJOBS@GMAIL.COM</t>
  </si>
  <si>
    <t xml:space="preserve">MAHESHKUMAR LILABHAI PATEL</t>
  </si>
  <si>
    <t xml:space="preserve">SH00348</t>
  </si>
  <si>
    <t xml:space="preserve">maheshkumar@gmail.com</t>
  </si>
  <si>
    <t xml:space="preserve">KALUBHAI GORDHANBHAI SOJITRA</t>
  </si>
  <si>
    <t xml:space="preserve">SH00349</t>
  </si>
  <si>
    <t xml:space="preserve">kalubhai@gmail.com</t>
  </si>
  <si>
    <t xml:space="preserve">RINKUBEN DHARMESHBHAI CHHAYANI</t>
  </si>
  <si>
    <t xml:space="preserve">SH00352</t>
  </si>
  <si>
    <t xml:space="preserve">RAVINDRA VISHWAS DEVARE</t>
  </si>
  <si>
    <t xml:space="preserve">SH00353</t>
  </si>
  <si>
    <t xml:space="preserve">B-</t>
  </si>
  <si>
    <t xml:space="preserve">Maintenance</t>
  </si>
  <si>
    <t xml:space="preserve">Jr. Engineer - Maintenance</t>
  </si>
  <si>
    <t xml:space="preserve">devareravindra2@gmail.com</t>
  </si>
  <si>
    <t xml:space="preserve">TEJALKUMARI GIRISHBHAI PATEL</t>
  </si>
  <si>
    <t xml:space="preserve">SH00357</t>
  </si>
  <si>
    <t xml:space="preserve">Lab Technician</t>
  </si>
  <si>
    <t xml:space="preserve">TEJALPATEL1517@GMAIL.COM</t>
  </si>
  <si>
    <t xml:space="preserve">DENISH ARVINDBHAI DOBARIYA</t>
  </si>
  <si>
    <t xml:space="preserve">SH00359</t>
  </si>
  <si>
    <t xml:space="preserve">denish@gmail.com</t>
  </si>
  <si>
    <t xml:space="preserve">MD AMIR SOHAIL</t>
  </si>
  <si>
    <t xml:space="preserve">SH00361</t>
  </si>
  <si>
    <t xml:space="preserve">Product Design Engineer</t>
  </si>
  <si>
    <t xml:space="preserve">AS2281310@GMAIL.COM</t>
  </si>
  <si>
    <t xml:space="preserve">HIRENDRA JAGDISHBHAI POMLA</t>
  </si>
  <si>
    <t xml:space="preserve">SH00362</t>
  </si>
  <si>
    <t xml:space="preserve">hirendra@gmail.com</t>
  </si>
  <si>
    <t xml:space="preserve">KARTAVYA JENTIBHAI MANDANKA</t>
  </si>
  <si>
    <t xml:space="preserve">SH00363</t>
  </si>
  <si>
    <t xml:space="preserve">kartavya@gmail.com</t>
  </si>
  <si>
    <t xml:space="preserve">RAVI NEMSINGBHAI KACHHAVA</t>
  </si>
  <si>
    <t xml:space="preserve">SH00364</t>
  </si>
  <si>
    <t xml:space="preserve">ravi@gmail.com</t>
  </si>
  <si>
    <t xml:space="preserve">RAMASHRE BHARTI</t>
  </si>
  <si>
    <t xml:space="preserve">SH00367</t>
  </si>
  <si>
    <t xml:space="preserve">ramashre@gmail.com</t>
  </si>
  <si>
    <t xml:space="preserve">BHAVYA JAYSUKH GANGAR</t>
  </si>
  <si>
    <t xml:space="preserve">SH00368</t>
  </si>
  <si>
    <t xml:space="preserve">BHAVYAGANGAR96@GMAIL.COM</t>
  </si>
  <si>
    <t xml:space="preserve">PRADIP NANKUBHAI NAKRANI</t>
  </si>
  <si>
    <t xml:space="preserve">SH00369</t>
  </si>
  <si>
    <t xml:space="preserve">pradip@gmail.com</t>
  </si>
  <si>
    <t xml:space="preserve">GAURAV DEVRAJBHAI DEVGANIYA</t>
  </si>
  <si>
    <t xml:space="preserve">SH00370</t>
  </si>
  <si>
    <t xml:space="preserve">Jr. Engineer</t>
  </si>
  <si>
    <t xml:space="preserve">DEVGANIYAGAURAV9750@GMAIL.COM</t>
  </si>
  <si>
    <t xml:space="preserve">SWASTIKKUMAR PRAKASHBHAI DHAMELIYA</t>
  </si>
  <si>
    <t xml:space="preserve">SH00371</t>
  </si>
  <si>
    <t xml:space="preserve">swastikkumar@gmail.com</t>
  </si>
  <si>
    <t xml:space="preserve">JITHU PRASAD</t>
  </si>
  <si>
    <t xml:space="preserve">SH00372</t>
  </si>
  <si>
    <t xml:space="preserve">Facility Technologist</t>
  </si>
  <si>
    <t xml:space="preserve">JITHUPRASAD1998@GMAIL.COM</t>
  </si>
  <si>
    <t xml:space="preserve">SURENDRAKUMAR RAMKISHORE YADAV</t>
  </si>
  <si>
    <t xml:space="preserve">SH00373</t>
  </si>
  <si>
    <t xml:space="preserve">Stitching worker</t>
  </si>
  <si>
    <t xml:space="preserve">surendrakumaryadav6604@gmail.com</t>
  </si>
  <si>
    <t xml:space="preserve">VIKAS RAGHUNATH MAHAJAN</t>
  </si>
  <si>
    <t xml:space="preserve">SH00374</t>
  </si>
  <si>
    <t xml:space="preserve">mahajanvikas119@gmail.com</t>
  </si>
  <si>
    <t xml:space="preserve">MAYUR JASHVANTBHAI PRAJAPATI</t>
  </si>
  <si>
    <t xml:space="preserve">SH00375</t>
  </si>
  <si>
    <t xml:space="preserve">MAYURPRAJAPATI530@GMAIL.COM</t>
  </si>
  <si>
    <t xml:space="preserve">SAHAL EBRAHIM</t>
  </si>
  <si>
    <t xml:space="preserve">SH00376</t>
  </si>
  <si>
    <t xml:space="preserve">Engineering Technologist</t>
  </si>
  <si>
    <t xml:space="preserve">ERSAHALEBRAHIM@GMAIL.COM</t>
  </si>
  <si>
    <t xml:space="preserve">PAWANKUMAR BHAGWANDIN VISHWAKARMA</t>
  </si>
  <si>
    <t xml:space="preserve">SH00377</t>
  </si>
  <si>
    <t xml:space="preserve">PAWANVISHWAKARMA328@GMAIL.COM</t>
  </si>
  <si>
    <t xml:space="preserve">KALPESH NITINKUMAR PATEL</t>
  </si>
  <si>
    <t xml:space="preserve">SH00378</t>
  </si>
  <si>
    <t xml:space="preserve">KP6649492@GMAIL.COM</t>
  </si>
  <si>
    <t xml:space="preserve">PRAGNESH MANUBHAI PARMAR</t>
  </si>
  <si>
    <t xml:space="preserve">SH00379</t>
  </si>
  <si>
    <t xml:space="preserve">parmarpragnesh052@gmail.com</t>
  </si>
  <si>
    <t xml:space="preserve">AJMALGHAN MUTHALI</t>
  </si>
  <si>
    <t xml:space="preserve">SH00380</t>
  </si>
  <si>
    <t xml:space="preserve">Principal Scientist</t>
  </si>
  <si>
    <t xml:space="preserve">AJMALGHAN.M@GMAIL.COM</t>
  </si>
  <si>
    <t xml:space="preserve">SADHANABEN PATEL</t>
  </si>
  <si>
    <t xml:space="preserve">SH00381</t>
  </si>
  <si>
    <t xml:space="preserve">sadhanaben@gmail.com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</si>
</sst>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D/M/YYYY;@"/>
    <numFmt numFmtId="166" formatCode="0"/>
    <numFmt numFmtId="167" formatCode="DD/MM/YY"/>
  </numFmts>
  <fonts count="12">
    <font>
      <sz val="10"/>
      <name val="Arial"/>
      <family val="0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0"/>
      <charset val="1"/>
    </font>
    <font>
      <b val="true"/>
      <sz val="10"/>
      <color rgb="FFCE181E"/>
      <name val="Arial"/>
      <family val="0"/>
      <charset val="1"/>
    </font>
    <font>
      <sz val="11"/>
      <color rgb="FF000000"/>
      <name val="Calibri"/>
      <family val="0"/>
      <charset val="134"/>
    </font>
    <font>
      <sz val="11"/>
      <name val="Calibri"/>
      <family val="0"/>
      <charset val="1"/>
    </font>
    <font>
      <sz val="11"/>
      <color rgb="FF000000"/>
      <name val="Calibri"/>
      <family val="0"/>
      <charset val="1"/>
    </font>
    <font>
      <sz val="11"/>
      <color rgb="FF0000FF"/>
      <name val="Calibri"/>
      <family val="0"/>
      <charset val="1"/>
    </font>
    <font>
      <u val="single"/>
      <sz val="11"/>
      <color rgb="FF0000FF"/>
      <name val="Calibri"/>
      <family val="0"/>
      <charset val="1"/>
    </font>
    <font>
      <sz val="11"/>
      <name val="Calibri"/>
      <family val="0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10" fillId="0" borderId="0" applyFont="true" applyBorder="false" applyAlignment="true" applyProtection="false">
      <alignment horizontal="general" vertical="bottom" textRotation="0" wrapText="false" indent="0" shrinkToFit="false"/>
    </xf>
  </cellStyleXfs>
  <cellXfs count="16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5" fontId="5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6" fontId="6" fillId="0" borderId="0" xfId="0" applyFont="true" applyBorder="false" applyAlignment="true" applyProtection="false">
      <alignment horizontal="left" vertical="top" textRotation="0" wrapText="false" indent="0" shrinkToFit="false"/>
      <protection locked="true" hidden="false"/>
    </xf>
    <xf numFmtId="165" fontId="6" fillId="0" borderId="0" xfId="0" applyFont="true" applyBorder="false" applyAlignment="true" applyProtection="false">
      <alignment horizontal="general" vertical="bottom" textRotation="0" wrapText="false" indent="0" shrinkToFit="false"/>
      <protection locked="true" hidden="false"/>
    </xf>
    <xf numFmtId="167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7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8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9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4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10" fillId="0" borderId="0" xfId="2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11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</cellXfs>
  <cellStyles count="7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  <cellStyle name="*unknown*" xfId="20" builtinId="8" customBuiltin="false"/>
  </cellStyles>
  <colors>
    <indexedColors>
      <rgbColor rgb="FF000000"/>
      <rgbColor rgb="FFFFFFFF"/>
      <rgbColor rgb="FFCE181E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worksheet" Target="worksheets/sheet2.xml"/><Relationship Id="rId4" Type="http://schemas.openxmlformats.org/officeDocument/2006/relationships/sharedStrings" Target="sharedStrings.xml"/>
</Relationships>
</file>

<file path=xl/worksheets/_rels/sheet1.xml.rels><?xml version="1.0" encoding="UTF-8"?>
<Relationships xmlns="http://schemas.openxmlformats.org/package/2006/relationships"><Relationship Id="rId1" Type="http://schemas.openxmlformats.org/officeDocument/2006/relationships/hyperlink" Target="mailto:maneeta@gmail.com" TargetMode="External"/><Relationship Id="rId2" Type="http://schemas.openxmlformats.org/officeDocument/2006/relationships/hyperlink" Target="mailto:anita@gmail.com" TargetMode="External"/><Relationship Id="rId3" Type="http://schemas.openxmlformats.org/officeDocument/2006/relationships/hyperlink" Target="mailto:sangita@gmail.com" TargetMode="External"/><Relationship Id="rId4" Type="http://schemas.openxmlformats.org/officeDocument/2006/relationships/hyperlink" Target="mailto:rinku@gmail.com" TargetMode="External"/><Relationship Id="rId5" Type="http://schemas.openxmlformats.org/officeDocument/2006/relationships/hyperlink" Target="mailto:dilip@gmail.com" TargetMode="External"/><Relationship Id="rId6" Type="http://schemas.openxmlformats.org/officeDocument/2006/relationships/hyperlink" Target="mailto:kishor@gmail.com" TargetMode="External"/><Relationship Id="rId7" Type="http://schemas.openxmlformats.org/officeDocument/2006/relationships/hyperlink" Target="mailto:shreepat@gmail.com" TargetMode="External"/><Relationship Id="rId8" Type="http://schemas.openxmlformats.org/officeDocument/2006/relationships/hyperlink" Target="mailto:sangitabai@gmail.com" TargetMode="External"/><Relationship Id="rId9" Type="http://schemas.openxmlformats.org/officeDocument/2006/relationships/hyperlink" Target="mailto:chandrika@gmail.com" TargetMode="External"/><Relationship Id="rId10" Type="http://schemas.openxmlformats.org/officeDocument/2006/relationships/hyperlink" Target="mailto:manisha@gmail.com" TargetMode="External"/><Relationship Id="rId11" Type="http://schemas.openxmlformats.org/officeDocument/2006/relationships/hyperlink" Target="mailto:piyush@gmail.com" TargetMode="External"/><Relationship Id="rId12" Type="http://schemas.openxmlformats.org/officeDocument/2006/relationships/hyperlink" Target="mailto:sujit@gmail.com" TargetMode="External"/><Relationship Id="rId13" Type="http://schemas.openxmlformats.org/officeDocument/2006/relationships/hyperlink" Target="mailto:halkeebahu@gmail.com" TargetMode="External"/><Relationship Id="rId14" Type="http://schemas.openxmlformats.org/officeDocument/2006/relationships/hyperlink" Target="mailto:rajkumari@gmail.com" TargetMode="External"/><Relationship Id="rId15" Type="http://schemas.openxmlformats.org/officeDocument/2006/relationships/hyperlink" Target="mailto:niruben@gmail.com" TargetMode="External"/><Relationship Id="rId16" Type="http://schemas.openxmlformats.org/officeDocument/2006/relationships/hyperlink" Target="mailto:surekhaben@gmail.com" TargetMode="External"/><Relationship Id="rId17" Type="http://schemas.openxmlformats.org/officeDocument/2006/relationships/hyperlink" Target="mailto:dipali@gmail.com" TargetMode="External"/><Relationship Id="rId18" Type="http://schemas.openxmlformats.org/officeDocument/2006/relationships/hyperlink" Target="mailto:durgeshkumar@gmail.com" TargetMode="External"/><Relationship Id="rId19" Type="http://schemas.openxmlformats.org/officeDocument/2006/relationships/hyperlink" Target="mailto:nimeshkumar@gmail.com" TargetMode="External"/><Relationship Id="rId20" Type="http://schemas.openxmlformats.org/officeDocument/2006/relationships/hyperlink" Target="mailto:nanalal@gmail.com" TargetMode="External"/><Relationship Id="rId21" Type="http://schemas.openxmlformats.org/officeDocument/2006/relationships/hyperlink" Target="mailto:maheshkumar@gmail.com" TargetMode="External"/><Relationship Id="rId22" Type="http://schemas.openxmlformats.org/officeDocument/2006/relationships/hyperlink" Target="mailto:kalubhai@gmail.com" TargetMode="External"/><Relationship Id="rId23" Type="http://schemas.openxmlformats.org/officeDocument/2006/relationships/hyperlink" Target="mailto:denish@gmail.com" TargetMode="External"/><Relationship Id="rId24" Type="http://schemas.openxmlformats.org/officeDocument/2006/relationships/hyperlink" Target="mailto:hirendra@gmail.com" TargetMode="External"/><Relationship Id="rId25" Type="http://schemas.openxmlformats.org/officeDocument/2006/relationships/hyperlink" Target="mailto:kartavya@gmail.com" TargetMode="External"/><Relationship Id="rId26" Type="http://schemas.openxmlformats.org/officeDocument/2006/relationships/hyperlink" Target="mailto:ravi@gmail.com" TargetMode="External"/><Relationship Id="rId27" Type="http://schemas.openxmlformats.org/officeDocument/2006/relationships/hyperlink" Target="mailto:ramashre@gmail.com" TargetMode="External"/><Relationship Id="rId28" Type="http://schemas.openxmlformats.org/officeDocument/2006/relationships/hyperlink" Target="mailto:pradip@gmail.com" TargetMode="External"/><Relationship Id="rId29" Type="http://schemas.openxmlformats.org/officeDocument/2006/relationships/hyperlink" Target="mailto:swastikkumar@gmail.com" TargetMode="External"/><Relationship Id="rId30" Type="http://schemas.openxmlformats.org/officeDocument/2006/relationships/hyperlink" Target="mailto:sadhanaben@gmail.com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X239"/>
  <sheetViews>
    <sheetView showFormulas="false" showGridLines="true" showRowColHeaders="true" showZeros="true" rightToLeft="false" tabSelected="true" showOutlineSymbols="true" defaultGridColor="true" view="normal" topLeftCell="A204" colorId="64" zoomScale="100" zoomScaleNormal="100" zoomScalePageLayoutView="100" workbookViewId="0">
      <selection pane="topLeft" activeCell="D217" activeCellId="0" sqref="D217"/>
    </sheetView>
  </sheetViews>
  <sheetFormatPr defaultRowHeight="12.75" zeroHeight="false" outlineLevelRow="0" outlineLevelCol="0"/>
  <cols>
    <col collapsed="false" customWidth="true" hidden="false" outlineLevel="0" max="1" min="1" style="1" width="47.37"/>
    <col collapsed="false" customWidth="true" hidden="false" outlineLevel="0" max="2" min="2" style="1" width="24.87"/>
    <col collapsed="false" customWidth="false" hidden="false" outlineLevel="0" max="3" min="3" style="1" width="11.53"/>
    <col collapsed="false" customWidth="true" hidden="false" outlineLevel="0" max="4" min="4" style="1" width="30.01"/>
    <col collapsed="false" customWidth="true" hidden="false" outlineLevel="0" max="5" min="5" style="1" width="13.19"/>
    <col collapsed="false" customWidth="true" hidden="false" outlineLevel="0" max="6" min="6" style="1" width="24.87"/>
    <col collapsed="false" customWidth="true" hidden="false" outlineLevel="0" max="7" min="7" style="2" width="13.86"/>
    <col collapsed="false" customWidth="false" hidden="false" outlineLevel="0" max="9" min="8" style="1" width="11.53"/>
    <col collapsed="false" customWidth="true" hidden="false" outlineLevel="0" max="10" min="10" style="1" width="16.67"/>
    <col collapsed="false" customWidth="true" hidden="false" outlineLevel="0" max="11" min="11" style="1" width="36"/>
    <col collapsed="false" customWidth="true" hidden="false" outlineLevel="0" max="12" min="12" style="1" width="15.15"/>
    <col collapsed="false" customWidth="true" hidden="false" outlineLevel="0" max="13" min="13" style="1" width="27.12"/>
    <col collapsed="false" customWidth="true" hidden="false" outlineLevel="0" max="14" min="14" style="1" width="22.62"/>
    <col collapsed="false" customWidth="true" hidden="false" outlineLevel="0" max="15" min="15" style="1" width="32.8"/>
    <col collapsed="false" customWidth="false" hidden="false" outlineLevel="0" max="19" min="16" style="1" width="11.53"/>
    <col collapsed="false" customWidth="true" hidden="false" outlineLevel="0" max="20" min="20" style="1" width="23.61"/>
    <col collapsed="false" customWidth="true" hidden="false" outlineLevel="0" max="21" min="21" style="1" width="20.14"/>
    <col collapsed="false" customWidth="true" hidden="false" outlineLevel="0" max="22" min="22" style="1" width="32.71"/>
    <col collapsed="false" customWidth="true" hidden="false" outlineLevel="0" max="23" min="23" style="1" width="15.84"/>
    <col collapsed="false" customWidth="true" hidden="false" outlineLevel="0" max="24" min="24" style="1" width="14.86"/>
    <col collapsed="false" customWidth="false" hidden="false" outlineLevel="0" max="1025" min="25" style="1" width="11.53"/>
  </cols>
  <sheetData>
    <row r="1" customFormat="false" ht="12.75" hidden="false" customHeight="false" outlineLevel="0" collapsed="false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4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s="3" t="s">
        <v>16</v>
      </c>
      <c r="R1" s="3" t="s">
        <v>17</v>
      </c>
      <c r="S1" s="3" t="s">
        <v>18</v>
      </c>
      <c r="T1" s="3" t="s">
        <v>19</v>
      </c>
      <c r="U1" s="3" t="s">
        <v>20</v>
      </c>
      <c r="V1" s="3" t="s">
        <v>21</v>
      </c>
      <c r="W1" s="3" t="s">
        <v>22</v>
      </c>
      <c r="X1" s="3" t="s">
        <v>23</v>
      </c>
    </row>
    <row r="2" customFormat="false" ht="14.9" hidden="false" customHeight="false" outlineLevel="0" collapsed="false">
      <c r="A2" s="5" t="s">
        <v>24</v>
      </c>
      <c r="B2" s="5" t="s">
        <v>25</v>
      </c>
      <c r="C2" s="5" t="s">
        <v>26</v>
      </c>
      <c r="D2" s="6" t="str">
        <f aca="false">VLOOKUP(B2,[2]sheet0!$a$3:$D$241,4,0)</f>
        <v>9035400749</v>
      </c>
      <c r="F2" s="7" t="n">
        <v>37059</v>
      </c>
      <c r="G2" s="7" t="n">
        <v>37059</v>
      </c>
      <c r="H2" s="5" t="s">
        <v>27</v>
      </c>
      <c r="I2" s="8" t="s">
        <v>28</v>
      </c>
      <c r="K2" s="9" t="s">
        <v>29</v>
      </c>
      <c r="L2" s="5" t="s">
        <v>30</v>
      </c>
      <c r="M2" s="10" t="s">
        <v>31</v>
      </c>
      <c r="N2" s="10" t="s">
        <v>32</v>
      </c>
      <c r="O2" s="10" t="s">
        <v>33</v>
      </c>
      <c r="P2" s="10" t="s">
        <v>34</v>
      </c>
      <c r="Q2" s="10" t="s">
        <v>35</v>
      </c>
      <c r="R2" s="10" t="s">
        <v>36</v>
      </c>
      <c r="S2" s="11" t="s">
        <v>37</v>
      </c>
      <c r="T2" s="11" t="s">
        <v>37</v>
      </c>
      <c r="U2" s="11" t="s">
        <v>37</v>
      </c>
      <c r="V2" s="12" t="s">
        <v>38</v>
      </c>
      <c r="W2" s="10" t="s">
        <v>39</v>
      </c>
      <c r="X2" s="10" t="s">
        <v>39</v>
      </c>
    </row>
    <row r="3" customFormat="false" ht="15" hidden="false" customHeight="false" outlineLevel="0" collapsed="false">
      <c r="A3" s="5" t="s">
        <v>40</v>
      </c>
      <c r="B3" s="5" t="s">
        <v>41</v>
      </c>
      <c r="C3" s="5" t="s">
        <v>42</v>
      </c>
      <c r="D3" s="6" t="str">
        <f aca="false">VLOOKUP(B3,[2]sheet0!$a$3:$D$241,4,0)</f>
        <v>7802997272</v>
      </c>
      <c r="F3" s="7" t="n">
        <v>33114</v>
      </c>
      <c r="G3" s="7" t="n">
        <v>33114</v>
      </c>
      <c r="H3" s="5" t="s">
        <v>27</v>
      </c>
      <c r="I3" s="8" t="s">
        <v>28</v>
      </c>
      <c r="J3" s="13"/>
      <c r="K3" s="9" t="s">
        <v>29</v>
      </c>
      <c r="L3" s="5" t="s">
        <v>30</v>
      </c>
      <c r="M3" s="10" t="s">
        <v>31</v>
      </c>
      <c r="N3" s="10" t="s">
        <v>32</v>
      </c>
      <c r="O3" s="10" t="s">
        <v>43</v>
      </c>
      <c r="P3" s="10" t="s">
        <v>34</v>
      </c>
      <c r="Q3" s="10" t="s">
        <v>35</v>
      </c>
      <c r="R3" s="10" t="s">
        <v>36</v>
      </c>
      <c r="S3" s="11" t="s">
        <v>37</v>
      </c>
      <c r="T3" s="11" t="s">
        <v>37</v>
      </c>
      <c r="U3" s="11" t="s">
        <v>37</v>
      </c>
      <c r="V3" s="12" t="s">
        <v>44</v>
      </c>
      <c r="W3" s="10" t="s">
        <v>39</v>
      </c>
      <c r="X3" s="10" t="s">
        <v>39</v>
      </c>
    </row>
    <row r="4" customFormat="false" ht="15" hidden="false" customHeight="false" outlineLevel="0" collapsed="false">
      <c r="A4" s="5" t="s">
        <v>45</v>
      </c>
      <c r="B4" s="5" t="s">
        <v>46</v>
      </c>
      <c r="C4" s="5" t="s">
        <v>26</v>
      </c>
      <c r="D4" s="6" t="str">
        <f aca="false">VLOOKUP(B4,[2]sheet0!$a$3:$D$241,4,0)</f>
        <v>7043262636</v>
      </c>
      <c r="F4" s="7" t="n">
        <v>36782</v>
      </c>
      <c r="G4" s="7" t="n">
        <v>36782</v>
      </c>
      <c r="H4" s="5" t="s">
        <v>47</v>
      </c>
      <c r="I4" s="8" t="s">
        <v>28</v>
      </c>
      <c r="K4" s="5" t="s">
        <v>48</v>
      </c>
      <c r="L4" s="5" t="s">
        <v>30</v>
      </c>
      <c r="M4" s="10" t="s">
        <v>49</v>
      </c>
      <c r="N4" s="10" t="s">
        <v>32</v>
      </c>
      <c r="O4" s="10" t="s">
        <v>50</v>
      </c>
      <c r="P4" s="10" t="s">
        <v>34</v>
      </c>
      <c r="Q4" s="10" t="s">
        <v>35</v>
      </c>
      <c r="R4" s="10" t="s">
        <v>36</v>
      </c>
      <c r="S4" s="11" t="s">
        <v>37</v>
      </c>
      <c r="T4" s="11" t="s">
        <v>37</v>
      </c>
      <c r="U4" s="11" t="s">
        <v>37</v>
      </c>
      <c r="V4" s="10" t="s">
        <v>51</v>
      </c>
      <c r="W4" s="10" t="s">
        <v>39</v>
      </c>
      <c r="X4" s="10" t="s">
        <v>39</v>
      </c>
    </row>
    <row r="5" customFormat="false" ht="15" hidden="false" customHeight="false" outlineLevel="0" collapsed="false">
      <c r="A5" s="5" t="s">
        <v>52</v>
      </c>
      <c r="B5" s="5" t="s">
        <v>53</v>
      </c>
      <c r="C5" s="5" t="s">
        <v>26</v>
      </c>
      <c r="D5" s="6" t="str">
        <f aca="false">VLOOKUP(B5,[2]sheet0!$a$3:$D$241,4,0)</f>
        <v>9825110255</v>
      </c>
      <c r="F5" s="7" t="n">
        <v>35699</v>
      </c>
      <c r="G5" s="7" t="n">
        <v>35699</v>
      </c>
      <c r="H5" s="5" t="s">
        <v>54</v>
      </c>
      <c r="I5" s="8" t="s">
        <v>28</v>
      </c>
      <c r="K5" s="5" t="s">
        <v>48</v>
      </c>
      <c r="L5" s="5" t="s">
        <v>30</v>
      </c>
      <c r="M5" s="10" t="s">
        <v>49</v>
      </c>
      <c r="N5" s="10" t="s">
        <v>32</v>
      </c>
      <c r="O5" s="10" t="s">
        <v>50</v>
      </c>
      <c r="P5" s="10" t="s">
        <v>34</v>
      </c>
      <c r="Q5" s="10" t="s">
        <v>35</v>
      </c>
      <c r="R5" s="10" t="s">
        <v>36</v>
      </c>
      <c r="S5" s="11" t="s">
        <v>37</v>
      </c>
      <c r="T5" s="11" t="s">
        <v>37</v>
      </c>
      <c r="U5" s="11" t="s">
        <v>37</v>
      </c>
      <c r="V5" s="10" t="s">
        <v>55</v>
      </c>
      <c r="W5" s="10" t="s">
        <v>39</v>
      </c>
      <c r="X5" s="10" t="s">
        <v>39</v>
      </c>
    </row>
    <row r="6" customFormat="false" ht="15" hidden="false" customHeight="false" outlineLevel="0" collapsed="false">
      <c r="A6" s="5" t="s">
        <v>56</v>
      </c>
      <c r="B6" s="5" t="s">
        <v>57</v>
      </c>
      <c r="C6" s="5" t="s">
        <v>26</v>
      </c>
      <c r="D6" s="6" t="str">
        <f aca="false">VLOOKUP(B6,[2]sheet0!$a$3:$D$241,4,0)</f>
        <v>6359342056</v>
      </c>
      <c r="F6" s="7" t="n">
        <v>36675</v>
      </c>
      <c r="G6" s="7" t="n">
        <v>36675</v>
      </c>
      <c r="H6" s="5" t="s">
        <v>27</v>
      </c>
      <c r="I6" s="8" t="s">
        <v>28</v>
      </c>
      <c r="K6" s="5" t="s">
        <v>48</v>
      </c>
      <c r="L6" s="5" t="s">
        <v>30</v>
      </c>
      <c r="M6" s="10" t="s">
        <v>58</v>
      </c>
      <c r="N6" s="10" t="s">
        <v>32</v>
      </c>
      <c r="O6" s="10" t="s">
        <v>59</v>
      </c>
      <c r="P6" s="10" t="s">
        <v>34</v>
      </c>
      <c r="Q6" s="10" t="s">
        <v>35</v>
      </c>
      <c r="R6" s="10" t="s">
        <v>36</v>
      </c>
      <c r="S6" s="11" t="s">
        <v>37</v>
      </c>
      <c r="T6" s="11" t="s">
        <v>37</v>
      </c>
      <c r="U6" s="11" t="s">
        <v>37</v>
      </c>
      <c r="V6" s="10" t="s">
        <v>60</v>
      </c>
      <c r="W6" s="10" t="s">
        <v>39</v>
      </c>
      <c r="X6" s="10" t="s">
        <v>39</v>
      </c>
    </row>
    <row r="7" customFormat="false" ht="15" hidden="false" customHeight="false" outlineLevel="0" collapsed="false">
      <c r="A7" s="5" t="s">
        <v>61</v>
      </c>
      <c r="B7" s="5" t="s">
        <v>62</v>
      </c>
      <c r="C7" s="5" t="s">
        <v>26</v>
      </c>
      <c r="D7" s="6" t="str">
        <f aca="false">VLOOKUP(B7,[2]sheet0!$a$3:$D$241,4,0)</f>
        <v>7874579177</v>
      </c>
      <c r="F7" s="7" t="n">
        <v>37334</v>
      </c>
      <c r="G7" s="7" t="n">
        <v>37334</v>
      </c>
      <c r="H7" s="5" t="s">
        <v>27</v>
      </c>
      <c r="I7" s="8" t="s">
        <v>28</v>
      </c>
      <c r="K7" s="5" t="s">
        <v>48</v>
      </c>
      <c r="L7" s="5" t="s">
        <v>30</v>
      </c>
      <c r="M7" s="10" t="s">
        <v>49</v>
      </c>
      <c r="N7" s="10" t="s">
        <v>32</v>
      </c>
      <c r="O7" s="10" t="s">
        <v>59</v>
      </c>
      <c r="P7" s="10" t="s">
        <v>34</v>
      </c>
      <c r="Q7" s="10" t="s">
        <v>35</v>
      </c>
      <c r="R7" s="10" t="s">
        <v>36</v>
      </c>
      <c r="S7" s="11" t="s">
        <v>37</v>
      </c>
      <c r="T7" s="11" t="s">
        <v>37</v>
      </c>
      <c r="U7" s="11" t="s">
        <v>37</v>
      </c>
      <c r="V7" s="10" t="s">
        <v>63</v>
      </c>
      <c r="W7" s="10" t="s">
        <v>39</v>
      </c>
      <c r="X7" s="10" t="s">
        <v>39</v>
      </c>
    </row>
    <row r="8" customFormat="false" ht="15" hidden="false" customHeight="false" outlineLevel="0" collapsed="false">
      <c r="A8" s="5" t="s">
        <v>64</v>
      </c>
      <c r="B8" s="5" t="s">
        <v>65</v>
      </c>
      <c r="C8" s="5" t="s">
        <v>26</v>
      </c>
      <c r="D8" s="6" t="str">
        <f aca="false">VLOOKUP(B8,[2]sheet0!$a$3:$D$241,4,0)</f>
        <v>7801982972</v>
      </c>
      <c r="F8" s="7" t="n">
        <v>35822</v>
      </c>
      <c r="G8" s="7" t="n">
        <v>35822</v>
      </c>
      <c r="H8" s="5" t="s">
        <v>27</v>
      </c>
      <c r="I8" s="8" t="s">
        <v>28</v>
      </c>
      <c r="K8" s="5" t="s">
        <v>48</v>
      </c>
      <c r="L8" s="5" t="s">
        <v>30</v>
      </c>
      <c r="M8" s="10" t="s">
        <v>49</v>
      </c>
      <c r="N8" s="10" t="s">
        <v>32</v>
      </c>
      <c r="O8" s="10" t="s">
        <v>66</v>
      </c>
      <c r="P8" s="10" t="s">
        <v>34</v>
      </c>
      <c r="Q8" s="10" t="s">
        <v>35</v>
      </c>
      <c r="R8" s="10" t="s">
        <v>36</v>
      </c>
      <c r="S8" s="11" t="s">
        <v>37</v>
      </c>
      <c r="T8" s="11" t="s">
        <v>37</v>
      </c>
      <c r="U8" s="11" t="s">
        <v>37</v>
      </c>
      <c r="V8" s="10" t="s">
        <v>67</v>
      </c>
      <c r="W8" s="10" t="s">
        <v>39</v>
      </c>
      <c r="X8" s="10" t="s">
        <v>39</v>
      </c>
    </row>
    <row r="9" customFormat="false" ht="15" hidden="false" customHeight="false" outlineLevel="0" collapsed="false">
      <c r="A9" s="5" t="s">
        <v>68</v>
      </c>
      <c r="B9" s="5" t="s">
        <v>69</v>
      </c>
      <c r="C9" s="5" t="s">
        <v>42</v>
      </c>
      <c r="D9" s="6" t="str">
        <f aca="false">VLOOKUP(B9,[2]sheet0!$a$3:$D$241,4,0)</f>
        <v>7459023146</v>
      </c>
      <c r="F9" s="7" t="n">
        <v>29426</v>
      </c>
      <c r="G9" s="7" t="n">
        <v>29426</v>
      </c>
      <c r="H9" s="5" t="s">
        <v>54</v>
      </c>
      <c r="I9" s="8" t="s">
        <v>28</v>
      </c>
      <c r="K9" s="5" t="s">
        <v>48</v>
      </c>
      <c r="L9" s="5" t="s">
        <v>30</v>
      </c>
      <c r="M9" s="10" t="s">
        <v>70</v>
      </c>
      <c r="N9" s="10" t="s">
        <v>32</v>
      </c>
      <c r="O9" s="10" t="s">
        <v>71</v>
      </c>
      <c r="P9" s="10" t="s">
        <v>34</v>
      </c>
      <c r="Q9" s="10" t="s">
        <v>35</v>
      </c>
      <c r="R9" s="10" t="s">
        <v>36</v>
      </c>
      <c r="S9" s="11" t="s">
        <v>37</v>
      </c>
      <c r="T9" s="11" t="s">
        <v>37</v>
      </c>
      <c r="U9" s="11" t="s">
        <v>37</v>
      </c>
      <c r="V9" s="14" t="s">
        <v>72</v>
      </c>
      <c r="W9" s="10" t="s">
        <v>39</v>
      </c>
      <c r="X9" s="10" t="s">
        <v>39</v>
      </c>
    </row>
    <row r="10" customFormat="false" ht="15" hidden="false" customHeight="false" outlineLevel="0" collapsed="false">
      <c r="A10" s="5" t="s">
        <v>73</v>
      </c>
      <c r="B10" s="5" t="s">
        <v>74</v>
      </c>
      <c r="C10" s="5" t="s">
        <v>42</v>
      </c>
      <c r="D10" s="6" t="str">
        <f aca="false">VLOOKUP(B10,[3]master!$b$6:$V$252,21,0)</f>
        <v>9708839575</v>
      </c>
      <c r="F10" s="7" t="n">
        <v>33158</v>
      </c>
      <c r="G10" s="7" t="n">
        <v>33158</v>
      </c>
      <c r="H10" s="5" t="s">
        <v>54</v>
      </c>
      <c r="I10" s="8" t="s">
        <v>28</v>
      </c>
      <c r="K10" s="5" t="s">
        <v>48</v>
      </c>
      <c r="L10" s="5" t="s">
        <v>30</v>
      </c>
      <c r="M10" s="10" t="s">
        <v>75</v>
      </c>
      <c r="N10" s="10" t="s">
        <v>32</v>
      </c>
      <c r="O10" s="10" t="s">
        <v>71</v>
      </c>
      <c r="P10" s="10" t="s">
        <v>34</v>
      </c>
      <c r="Q10" s="10" t="s">
        <v>35</v>
      </c>
      <c r="R10" s="10" t="s">
        <v>36</v>
      </c>
      <c r="S10" s="11" t="s">
        <v>37</v>
      </c>
      <c r="T10" s="11" t="s">
        <v>37</v>
      </c>
      <c r="U10" s="11" t="s">
        <v>37</v>
      </c>
      <c r="V10" s="14" t="s">
        <v>76</v>
      </c>
      <c r="W10" s="10" t="s">
        <v>39</v>
      </c>
      <c r="X10" s="10" t="s">
        <v>39</v>
      </c>
    </row>
    <row r="11" customFormat="false" ht="15" hidden="false" customHeight="false" outlineLevel="0" collapsed="false">
      <c r="A11" s="5" t="s">
        <v>77</v>
      </c>
      <c r="B11" s="5" t="s">
        <v>78</v>
      </c>
      <c r="C11" s="5" t="s">
        <v>42</v>
      </c>
      <c r="D11" s="6" t="str">
        <f aca="false">VLOOKUP(B11,[2]sheet0!$a$3:$D$241,4,0)</f>
        <v>7485942901</v>
      </c>
      <c r="F11" s="7" t="n">
        <v>26665</v>
      </c>
      <c r="G11" s="7" t="n">
        <v>26665</v>
      </c>
      <c r="H11" s="5" t="s">
        <v>54</v>
      </c>
      <c r="I11" s="8" t="s">
        <v>28</v>
      </c>
      <c r="K11" s="5" t="s">
        <v>48</v>
      </c>
      <c r="L11" s="5" t="s">
        <v>30</v>
      </c>
      <c r="M11" s="10" t="s">
        <v>75</v>
      </c>
      <c r="N11" s="10" t="s">
        <v>32</v>
      </c>
      <c r="O11" s="10" t="s">
        <v>71</v>
      </c>
      <c r="P11" s="10" t="s">
        <v>34</v>
      </c>
      <c r="Q11" s="10" t="s">
        <v>35</v>
      </c>
      <c r="R11" s="10" t="s">
        <v>36</v>
      </c>
      <c r="S11" s="11" t="s">
        <v>37</v>
      </c>
      <c r="T11" s="11" t="s">
        <v>37</v>
      </c>
      <c r="U11" s="11" t="s">
        <v>37</v>
      </c>
      <c r="V11" s="14" t="s">
        <v>79</v>
      </c>
      <c r="W11" s="10" t="s">
        <v>39</v>
      </c>
      <c r="X11" s="10" t="s">
        <v>39</v>
      </c>
    </row>
    <row r="12" customFormat="false" ht="15" hidden="false" customHeight="false" outlineLevel="0" collapsed="false">
      <c r="A12" s="5" t="s">
        <v>80</v>
      </c>
      <c r="B12" s="5" t="s">
        <v>81</v>
      </c>
      <c r="C12" s="5" t="s">
        <v>42</v>
      </c>
      <c r="D12" s="6" t="str">
        <f aca="false">VLOOKUP(B12,[2]sheet0!$a$3:$D$241,4,0)</f>
        <v>9484792142</v>
      </c>
      <c r="F12" s="7" t="n">
        <v>30317</v>
      </c>
      <c r="G12" s="7" t="n">
        <v>30317</v>
      </c>
      <c r="H12" s="5" t="s">
        <v>54</v>
      </c>
      <c r="I12" s="8" t="s">
        <v>28</v>
      </c>
      <c r="K12" s="5" t="s">
        <v>48</v>
      </c>
      <c r="L12" s="5" t="s">
        <v>30</v>
      </c>
      <c r="M12" s="10" t="s">
        <v>75</v>
      </c>
      <c r="N12" s="10" t="s">
        <v>32</v>
      </c>
      <c r="O12" s="10" t="s">
        <v>71</v>
      </c>
      <c r="P12" s="10" t="s">
        <v>34</v>
      </c>
      <c r="Q12" s="10" t="s">
        <v>35</v>
      </c>
      <c r="R12" s="10" t="s">
        <v>36</v>
      </c>
      <c r="S12" s="11" t="s">
        <v>37</v>
      </c>
      <c r="T12" s="11" t="s">
        <v>37</v>
      </c>
      <c r="U12" s="11" t="s">
        <v>37</v>
      </c>
      <c r="V12" s="14" t="s">
        <v>82</v>
      </c>
      <c r="W12" s="10" t="s">
        <v>39</v>
      </c>
      <c r="X12" s="10" t="s">
        <v>39</v>
      </c>
    </row>
    <row r="13" customFormat="false" ht="15" hidden="false" customHeight="false" outlineLevel="0" collapsed="false">
      <c r="A13" s="5" t="s">
        <v>83</v>
      </c>
      <c r="B13" s="5" t="s">
        <v>84</v>
      </c>
      <c r="C13" s="5" t="s">
        <v>26</v>
      </c>
      <c r="D13" s="6" t="str">
        <f aca="false">VLOOKUP(B13,[3]master!$b$6:$V$252,21,0)</f>
        <v>7874220085</v>
      </c>
      <c r="F13" s="7" t="n">
        <v>34669</v>
      </c>
      <c r="G13" s="7" t="n">
        <v>34669</v>
      </c>
      <c r="H13" s="5" t="s">
        <v>27</v>
      </c>
      <c r="I13" s="8" t="s">
        <v>28</v>
      </c>
      <c r="K13" s="5" t="s">
        <v>48</v>
      </c>
      <c r="L13" s="5" t="s">
        <v>30</v>
      </c>
      <c r="M13" s="10" t="s">
        <v>58</v>
      </c>
      <c r="N13" s="10" t="s">
        <v>32</v>
      </c>
      <c r="O13" s="10" t="s">
        <v>85</v>
      </c>
      <c r="P13" s="10" t="s">
        <v>34</v>
      </c>
      <c r="Q13" s="10" t="s">
        <v>35</v>
      </c>
      <c r="R13" s="10" t="s">
        <v>36</v>
      </c>
      <c r="S13" s="11" t="s">
        <v>37</v>
      </c>
      <c r="T13" s="11" t="s">
        <v>37</v>
      </c>
      <c r="U13" s="11" t="s">
        <v>37</v>
      </c>
      <c r="V13" s="10" t="s">
        <v>86</v>
      </c>
      <c r="W13" s="10" t="s">
        <v>39</v>
      </c>
      <c r="X13" s="10" t="s">
        <v>39</v>
      </c>
    </row>
    <row r="14" customFormat="false" ht="15" hidden="false" customHeight="false" outlineLevel="0" collapsed="false">
      <c r="A14" s="5" t="s">
        <v>87</v>
      </c>
      <c r="B14" s="5" t="s">
        <v>88</v>
      </c>
      <c r="C14" s="5" t="s">
        <v>26</v>
      </c>
      <c r="D14" s="6" t="str">
        <f aca="false">VLOOKUP(B14,[3]master!$b$6:$V$252,21,0)</f>
        <v>7861091766</v>
      </c>
      <c r="F14" s="7" t="n">
        <v>36093</v>
      </c>
      <c r="G14" s="7" t="n">
        <v>36093</v>
      </c>
      <c r="H14" s="5" t="s">
        <v>27</v>
      </c>
      <c r="I14" s="8" t="s">
        <v>28</v>
      </c>
      <c r="K14" s="5" t="s">
        <v>48</v>
      </c>
      <c r="L14" s="5" t="s">
        <v>30</v>
      </c>
      <c r="M14" s="10" t="s">
        <v>75</v>
      </c>
      <c r="N14" s="10" t="s">
        <v>32</v>
      </c>
      <c r="O14" s="10" t="s">
        <v>89</v>
      </c>
      <c r="P14" s="10" t="s">
        <v>34</v>
      </c>
      <c r="Q14" s="10" t="s">
        <v>35</v>
      </c>
      <c r="R14" s="10" t="s">
        <v>36</v>
      </c>
      <c r="S14" s="11" t="s">
        <v>37</v>
      </c>
      <c r="T14" s="11" t="s">
        <v>37</v>
      </c>
      <c r="U14" s="11" t="s">
        <v>37</v>
      </c>
      <c r="V14" s="10" t="s">
        <v>90</v>
      </c>
      <c r="W14" s="10" t="s">
        <v>39</v>
      </c>
      <c r="X14" s="10" t="s">
        <v>39</v>
      </c>
    </row>
    <row r="15" customFormat="false" ht="15" hidden="false" customHeight="false" outlineLevel="0" collapsed="false">
      <c r="A15" s="5" t="s">
        <v>91</v>
      </c>
      <c r="B15" s="5" t="s">
        <v>92</v>
      </c>
      <c r="C15" s="5" t="s">
        <v>26</v>
      </c>
      <c r="D15" s="6" t="str">
        <f aca="false">VLOOKUP(B15,[3]master!$b$6:$V$252,21,0)</f>
        <v>9870098212</v>
      </c>
      <c r="F15" s="7" t="n">
        <v>35664</v>
      </c>
      <c r="G15" s="7" t="n">
        <v>35664</v>
      </c>
      <c r="H15" s="5" t="s">
        <v>27</v>
      </c>
      <c r="I15" s="8" t="s">
        <v>28</v>
      </c>
      <c r="K15" s="5" t="s">
        <v>48</v>
      </c>
      <c r="L15" s="5" t="s">
        <v>30</v>
      </c>
      <c r="M15" s="10" t="s">
        <v>93</v>
      </c>
      <c r="N15" s="10" t="s">
        <v>32</v>
      </c>
      <c r="O15" s="10" t="s">
        <v>94</v>
      </c>
      <c r="P15" s="10" t="s">
        <v>34</v>
      </c>
      <c r="Q15" s="10" t="s">
        <v>35</v>
      </c>
      <c r="R15" s="10" t="s">
        <v>36</v>
      </c>
      <c r="S15" s="11" t="s">
        <v>37</v>
      </c>
      <c r="T15" s="11" t="s">
        <v>37</v>
      </c>
      <c r="U15" s="11" t="s">
        <v>37</v>
      </c>
      <c r="V15" s="10" t="s">
        <v>95</v>
      </c>
      <c r="W15" s="10" t="s">
        <v>39</v>
      </c>
      <c r="X15" s="10" t="s">
        <v>39</v>
      </c>
    </row>
    <row r="16" customFormat="false" ht="15" hidden="false" customHeight="false" outlineLevel="0" collapsed="false">
      <c r="A16" s="5" t="s">
        <v>96</v>
      </c>
      <c r="B16" s="5" t="s">
        <v>97</v>
      </c>
      <c r="C16" s="5" t="s">
        <v>26</v>
      </c>
      <c r="D16" s="6" t="str">
        <f aca="false">VLOOKUP(B16,[3]master!$b$6:$V$252,21,0)</f>
        <v>9537166103</v>
      </c>
      <c r="F16" s="7" t="n">
        <v>36059</v>
      </c>
      <c r="G16" s="7" t="n">
        <v>36059</v>
      </c>
      <c r="H16" s="5" t="s">
        <v>47</v>
      </c>
      <c r="I16" s="8" t="s">
        <v>28</v>
      </c>
      <c r="K16" s="5" t="s">
        <v>48</v>
      </c>
      <c r="L16" s="5" t="s">
        <v>30</v>
      </c>
      <c r="M16" s="10" t="s">
        <v>31</v>
      </c>
      <c r="N16" s="10" t="s">
        <v>32</v>
      </c>
      <c r="O16" s="10" t="s">
        <v>98</v>
      </c>
      <c r="P16" s="10" t="s">
        <v>34</v>
      </c>
      <c r="Q16" s="10" t="s">
        <v>35</v>
      </c>
      <c r="R16" s="10" t="s">
        <v>36</v>
      </c>
      <c r="S16" s="11" t="s">
        <v>37</v>
      </c>
      <c r="T16" s="11" t="s">
        <v>37</v>
      </c>
      <c r="U16" s="11" t="s">
        <v>37</v>
      </c>
      <c r="V16" s="10" t="s">
        <v>99</v>
      </c>
      <c r="W16" s="10" t="s">
        <v>39</v>
      </c>
      <c r="X16" s="10" t="s">
        <v>39</v>
      </c>
    </row>
    <row r="17" customFormat="false" ht="15" hidden="false" customHeight="false" outlineLevel="0" collapsed="false">
      <c r="A17" s="5" t="s">
        <v>100</v>
      </c>
      <c r="B17" s="5" t="s">
        <v>101</v>
      </c>
      <c r="C17" s="5" t="s">
        <v>26</v>
      </c>
      <c r="D17" s="6" t="str">
        <f aca="false">VLOOKUP(B17,[3]master!$b$6:$V$252,21,0)</f>
        <v>9979044222</v>
      </c>
      <c r="F17" s="7" t="n">
        <v>34972</v>
      </c>
      <c r="G17" s="7" t="n">
        <v>34972</v>
      </c>
      <c r="H17" s="5" t="s">
        <v>54</v>
      </c>
      <c r="I17" s="8" t="s">
        <v>28</v>
      </c>
      <c r="K17" s="5" t="s">
        <v>48</v>
      </c>
      <c r="L17" s="5" t="s">
        <v>30</v>
      </c>
      <c r="M17" s="10" t="s">
        <v>31</v>
      </c>
      <c r="N17" s="10" t="s">
        <v>32</v>
      </c>
      <c r="O17" s="10" t="s">
        <v>98</v>
      </c>
      <c r="P17" s="10" t="s">
        <v>34</v>
      </c>
      <c r="Q17" s="10" t="s">
        <v>35</v>
      </c>
      <c r="R17" s="10" t="s">
        <v>36</v>
      </c>
      <c r="S17" s="11" t="s">
        <v>37</v>
      </c>
      <c r="T17" s="11" t="s">
        <v>37</v>
      </c>
      <c r="U17" s="11" t="s">
        <v>37</v>
      </c>
      <c r="V17" s="10" t="s">
        <v>102</v>
      </c>
      <c r="W17" s="10" t="s">
        <v>39</v>
      </c>
      <c r="X17" s="10" t="s">
        <v>39</v>
      </c>
    </row>
    <row r="18" customFormat="false" ht="15" hidden="false" customHeight="false" outlineLevel="0" collapsed="false">
      <c r="A18" s="5" t="s">
        <v>103</v>
      </c>
      <c r="B18" s="5" t="s">
        <v>104</v>
      </c>
      <c r="C18" s="5" t="s">
        <v>26</v>
      </c>
      <c r="D18" s="6" t="str">
        <f aca="false">VLOOKUP(B18,[3]master!$b$6:$V$252,21,0)</f>
        <v>8866798719</v>
      </c>
      <c r="F18" s="7" t="n">
        <v>34919</v>
      </c>
      <c r="G18" s="7" t="n">
        <v>34919</v>
      </c>
      <c r="H18" s="5" t="s">
        <v>54</v>
      </c>
      <c r="I18" s="8" t="s">
        <v>28</v>
      </c>
      <c r="K18" s="5" t="s">
        <v>48</v>
      </c>
      <c r="L18" s="5" t="s">
        <v>30</v>
      </c>
      <c r="M18" s="10" t="s">
        <v>49</v>
      </c>
      <c r="N18" s="10" t="s">
        <v>32</v>
      </c>
      <c r="O18" s="10" t="s">
        <v>105</v>
      </c>
      <c r="P18" s="10" t="s">
        <v>34</v>
      </c>
      <c r="Q18" s="10" t="s">
        <v>35</v>
      </c>
      <c r="R18" s="10" t="s">
        <v>36</v>
      </c>
      <c r="S18" s="11" t="s">
        <v>37</v>
      </c>
      <c r="T18" s="11" t="s">
        <v>37</v>
      </c>
      <c r="U18" s="11" t="s">
        <v>37</v>
      </c>
      <c r="V18" s="10" t="s">
        <v>106</v>
      </c>
      <c r="W18" s="10" t="s">
        <v>39</v>
      </c>
      <c r="X18" s="10" t="s">
        <v>39</v>
      </c>
    </row>
    <row r="19" customFormat="false" ht="15" hidden="false" customHeight="false" outlineLevel="0" collapsed="false">
      <c r="A19" s="5" t="s">
        <v>107</v>
      </c>
      <c r="B19" s="5" t="s">
        <v>108</v>
      </c>
      <c r="C19" s="5" t="s">
        <v>26</v>
      </c>
      <c r="D19" s="6" t="str">
        <f aca="false">VLOOKUP(B19,[3]master!$b$6:$V$252,21,0)</f>
        <v>8271585826</v>
      </c>
      <c r="F19" s="7" t="n">
        <v>35535</v>
      </c>
      <c r="G19" s="7" t="n">
        <v>35535</v>
      </c>
      <c r="H19" s="5" t="s">
        <v>54</v>
      </c>
      <c r="I19" s="8" t="s">
        <v>28</v>
      </c>
      <c r="K19" s="5" t="s">
        <v>48</v>
      </c>
      <c r="L19" s="5" t="s">
        <v>30</v>
      </c>
      <c r="M19" s="10" t="s">
        <v>70</v>
      </c>
      <c r="N19" s="10" t="s">
        <v>32</v>
      </c>
      <c r="O19" s="10" t="s">
        <v>89</v>
      </c>
      <c r="P19" s="10" t="s">
        <v>34</v>
      </c>
      <c r="Q19" s="10" t="s">
        <v>35</v>
      </c>
      <c r="R19" s="10" t="s">
        <v>36</v>
      </c>
      <c r="S19" s="11" t="s">
        <v>37</v>
      </c>
      <c r="T19" s="11" t="s">
        <v>37</v>
      </c>
      <c r="U19" s="11" t="s">
        <v>37</v>
      </c>
      <c r="V19" s="10" t="s">
        <v>109</v>
      </c>
      <c r="W19" s="10" t="s">
        <v>39</v>
      </c>
      <c r="X19" s="10" t="s">
        <v>39</v>
      </c>
    </row>
    <row r="20" customFormat="false" ht="15" hidden="false" customHeight="false" outlineLevel="0" collapsed="false">
      <c r="A20" s="5" t="s">
        <v>110</v>
      </c>
      <c r="B20" s="5" t="s">
        <v>111</v>
      </c>
      <c r="C20" s="5" t="s">
        <v>26</v>
      </c>
      <c r="D20" s="6" t="str">
        <f aca="false">VLOOKUP(B20,[3]master!$b$6:$V$252,21,0)</f>
        <v>7698468868</v>
      </c>
      <c r="F20" s="7" t="n">
        <v>31610</v>
      </c>
      <c r="G20" s="7" t="n">
        <v>31610</v>
      </c>
      <c r="H20" s="5" t="s">
        <v>27</v>
      </c>
      <c r="I20" s="8" t="s">
        <v>28</v>
      </c>
      <c r="K20" s="5" t="s">
        <v>112</v>
      </c>
      <c r="L20" s="5" t="s">
        <v>30</v>
      </c>
      <c r="M20" s="10" t="s">
        <v>113</v>
      </c>
      <c r="N20" s="10" t="s">
        <v>32</v>
      </c>
      <c r="O20" s="10" t="s">
        <v>114</v>
      </c>
      <c r="P20" s="10" t="s">
        <v>34</v>
      </c>
      <c r="Q20" s="10" t="s">
        <v>35</v>
      </c>
      <c r="R20" s="10" t="s">
        <v>36</v>
      </c>
      <c r="S20" s="11" t="s">
        <v>37</v>
      </c>
      <c r="T20" s="11" t="s">
        <v>37</v>
      </c>
      <c r="U20" s="11" t="s">
        <v>37</v>
      </c>
      <c r="V20" s="10" t="s">
        <v>115</v>
      </c>
      <c r="W20" s="10" t="s">
        <v>39</v>
      </c>
      <c r="X20" s="10" t="s">
        <v>39</v>
      </c>
    </row>
    <row r="21" customFormat="false" ht="15" hidden="false" customHeight="false" outlineLevel="0" collapsed="false">
      <c r="A21" s="5" t="s">
        <v>116</v>
      </c>
      <c r="B21" s="5" t="s">
        <v>117</v>
      </c>
      <c r="C21" s="5" t="s">
        <v>26</v>
      </c>
      <c r="D21" s="6" t="str">
        <f aca="false">VLOOKUP(B21,[3]master!$b$6:$V$252,21,0)</f>
        <v>9702124724</v>
      </c>
      <c r="F21" s="7" t="n">
        <v>30877</v>
      </c>
      <c r="G21" s="7" t="n">
        <v>30877</v>
      </c>
      <c r="H21" s="5" t="s">
        <v>27</v>
      </c>
      <c r="I21" s="8" t="s">
        <v>28</v>
      </c>
      <c r="K21" s="5" t="s">
        <v>112</v>
      </c>
      <c r="L21" s="5" t="s">
        <v>30</v>
      </c>
      <c r="M21" s="10" t="s">
        <v>118</v>
      </c>
      <c r="N21" s="10" t="s">
        <v>32</v>
      </c>
      <c r="O21" s="10" t="s">
        <v>119</v>
      </c>
      <c r="P21" s="10" t="s">
        <v>34</v>
      </c>
      <c r="Q21" s="10" t="s">
        <v>35</v>
      </c>
      <c r="R21" s="10" t="s">
        <v>36</v>
      </c>
      <c r="S21" s="11" t="s">
        <v>37</v>
      </c>
      <c r="T21" s="11" t="s">
        <v>37</v>
      </c>
      <c r="U21" s="11" t="s">
        <v>37</v>
      </c>
      <c r="V21" s="10" t="s">
        <v>120</v>
      </c>
      <c r="W21" s="10" t="s">
        <v>39</v>
      </c>
      <c r="X21" s="10" t="s">
        <v>39</v>
      </c>
    </row>
    <row r="22" customFormat="false" ht="15" hidden="false" customHeight="false" outlineLevel="0" collapsed="false">
      <c r="A22" s="5" t="s">
        <v>121</v>
      </c>
      <c r="B22" s="5" t="s">
        <v>122</v>
      </c>
      <c r="C22" s="5" t="s">
        <v>26</v>
      </c>
      <c r="D22" s="6" t="str">
        <f aca="false">VLOOKUP(B22,[3]master!$b$6:$V$252,21,0)</f>
        <v>9029615252</v>
      </c>
      <c r="F22" s="7" t="n">
        <v>32516</v>
      </c>
      <c r="G22" s="7" t="n">
        <v>32516</v>
      </c>
      <c r="H22" s="5" t="s">
        <v>54</v>
      </c>
      <c r="I22" s="8" t="s">
        <v>28</v>
      </c>
      <c r="K22" s="5" t="s">
        <v>112</v>
      </c>
      <c r="L22" s="5" t="s">
        <v>30</v>
      </c>
      <c r="M22" s="10" t="s">
        <v>123</v>
      </c>
      <c r="N22" s="10" t="s">
        <v>32</v>
      </c>
      <c r="O22" s="10" t="s">
        <v>98</v>
      </c>
      <c r="P22" s="10" t="s">
        <v>34</v>
      </c>
      <c r="Q22" s="10" t="s">
        <v>35</v>
      </c>
      <c r="R22" s="10" t="s">
        <v>36</v>
      </c>
      <c r="S22" s="11" t="s">
        <v>37</v>
      </c>
      <c r="T22" s="11" t="s">
        <v>37</v>
      </c>
      <c r="U22" s="11" t="s">
        <v>37</v>
      </c>
      <c r="V22" s="10" t="s">
        <v>124</v>
      </c>
      <c r="W22" s="10" t="s">
        <v>39</v>
      </c>
      <c r="X22" s="10" t="s">
        <v>39</v>
      </c>
    </row>
    <row r="23" customFormat="false" ht="15" hidden="false" customHeight="false" outlineLevel="0" collapsed="false">
      <c r="A23" s="5" t="s">
        <v>125</v>
      </c>
      <c r="B23" s="5" t="s">
        <v>126</v>
      </c>
      <c r="C23" s="5" t="s">
        <v>26</v>
      </c>
      <c r="D23" s="6" t="str">
        <f aca="false">VLOOKUP(B23,[3]master!$b$6:$V$252,21,0)</f>
        <v>9825623151</v>
      </c>
      <c r="F23" s="7" t="n">
        <v>26425</v>
      </c>
      <c r="G23" s="7" t="n">
        <v>26425</v>
      </c>
      <c r="H23" s="5" t="s">
        <v>54</v>
      </c>
      <c r="I23" s="8" t="s">
        <v>28</v>
      </c>
      <c r="K23" s="5" t="s">
        <v>112</v>
      </c>
      <c r="L23" s="5" t="s">
        <v>30</v>
      </c>
      <c r="M23" s="10" t="s">
        <v>127</v>
      </c>
      <c r="N23" s="10" t="s">
        <v>32</v>
      </c>
      <c r="O23" s="10" t="s">
        <v>128</v>
      </c>
      <c r="P23" s="10" t="s">
        <v>34</v>
      </c>
      <c r="Q23" s="10" t="s">
        <v>35</v>
      </c>
      <c r="R23" s="10" t="s">
        <v>36</v>
      </c>
      <c r="S23" s="11" t="s">
        <v>37</v>
      </c>
      <c r="T23" s="11" t="s">
        <v>37</v>
      </c>
      <c r="U23" s="11" t="s">
        <v>37</v>
      </c>
      <c r="V23" s="10" t="s">
        <v>129</v>
      </c>
      <c r="W23" s="10" t="s">
        <v>39</v>
      </c>
      <c r="X23" s="10" t="s">
        <v>39</v>
      </c>
    </row>
    <row r="24" customFormat="false" ht="15" hidden="false" customHeight="false" outlineLevel="0" collapsed="false">
      <c r="A24" s="5" t="s">
        <v>130</v>
      </c>
      <c r="B24" s="5" t="s">
        <v>131</v>
      </c>
      <c r="C24" s="5" t="s">
        <v>26</v>
      </c>
      <c r="D24" s="6" t="str">
        <f aca="false">VLOOKUP(B24,[3]master!$b$6:$V$252,21,0)</f>
        <v>9825916404</v>
      </c>
      <c r="F24" s="7" t="n">
        <v>28733</v>
      </c>
      <c r="G24" s="7" t="n">
        <v>28733</v>
      </c>
      <c r="H24" s="5" t="s">
        <v>27</v>
      </c>
      <c r="I24" s="8" t="s">
        <v>28</v>
      </c>
      <c r="K24" s="5" t="s">
        <v>112</v>
      </c>
      <c r="L24" s="5" t="s">
        <v>30</v>
      </c>
      <c r="M24" s="10" t="s">
        <v>127</v>
      </c>
      <c r="N24" s="10" t="s">
        <v>32</v>
      </c>
      <c r="O24" s="10" t="s">
        <v>132</v>
      </c>
      <c r="P24" s="10" t="s">
        <v>34</v>
      </c>
      <c r="Q24" s="10" t="s">
        <v>35</v>
      </c>
      <c r="R24" s="10" t="s">
        <v>36</v>
      </c>
      <c r="S24" s="11" t="s">
        <v>37</v>
      </c>
      <c r="T24" s="11" t="s">
        <v>37</v>
      </c>
      <c r="U24" s="11" t="s">
        <v>37</v>
      </c>
      <c r="V24" s="10" t="s">
        <v>133</v>
      </c>
      <c r="W24" s="10" t="s">
        <v>39</v>
      </c>
      <c r="X24" s="10" t="s">
        <v>39</v>
      </c>
    </row>
    <row r="25" customFormat="false" ht="15" hidden="false" customHeight="false" outlineLevel="0" collapsed="false">
      <c r="A25" s="5" t="s">
        <v>134</v>
      </c>
      <c r="B25" s="5" t="s">
        <v>135</v>
      </c>
      <c r="C25" s="5" t="s">
        <v>26</v>
      </c>
      <c r="D25" s="6" t="str">
        <f aca="false">VLOOKUP(B25,[3]master!$b$6:$V$252,21,0)</f>
        <v>9375761027</v>
      </c>
      <c r="F25" s="7" t="n">
        <v>32245</v>
      </c>
      <c r="G25" s="7" t="n">
        <v>32245</v>
      </c>
      <c r="H25" s="5" t="s">
        <v>136</v>
      </c>
      <c r="I25" s="8" t="s">
        <v>28</v>
      </c>
      <c r="K25" s="5" t="s">
        <v>112</v>
      </c>
      <c r="L25" s="5" t="s">
        <v>30</v>
      </c>
      <c r="M25" s="10" t="s">
        <v>137</v>
      </c>
      <c r="N25" s="10" t="s">
        <v>32</v>
      </c>
      <c r="O25" s="10" t="s">
        <v>138</v>
      </c>
      <c r="P25" s="10" t="s">
        <v>34</v>
      </c>
      <c r="Q25" s="10" t="s">
        <v>35</v>
      </c>
      <c r="R25" s="10" t="s">
        <v>36</v>
      </c>
      <c r="S25" s="11" t="s">
        <v>37</v>
      </c>
      <c r="T25" s="11" t="s">
        <v>37</v>
      </c>
      <c r="U25" s="11" t="s">
        <v>37</v>
      </c>
      <c r="V25" s="10" t="s">
        <v>139</v>
      </c>
      <c r="W25" s="10" t="s">
        <v>39</v>
      </c>
      <c r="X25" s="10" t="s">
        <v>39</v>
      </c>
    </row>
    <row r="26" customFormat="false" ht="15" hidden="false" customHeight="false" outlineLevel="0" collapsed="false">
      <c r="A26" s="5" t="s">
        <v>140</v>
      </c>
      <c r="B26" s="5" t="s">
        <v>141</v>
      </c>
      <c r="C26" s="5" t="s">
        <v>26</v>
      </c>
      <c r="D26" s="6" t="str">
        <f aca="false">VLOOKUP(B26,[3]master!$b$6:$V$252,21,0)</f>
        <v>8090992699</v>
      </c>
      <c r="F26" s="7" t="n">
        <v>37082</v>
      </c>
      <c r="G26" s="7" t="n">
        <v>37082</v>
      </c>
      <c r="H26" s="5" t="s">
        <v>136</v>
      </c>
      <c r="I26" s="8" t="s">
        <v>28</v>
      </c>
      <c r="K26" s="5" t="s">
        <v>112</v>
      </c>
      <c r="L26" s="5" t="s">
        <v>30</v>
      </c>
      <c r="M26" s="10" t="s">
        <v>142</v>
      </c>
      <c r="N26" s="10" t="s">
        <v>32</v>
      </c>
      <c r="O26" s="10" t="s">
        <v>132</v>
      </c>
      <c r="P26" s="10" t="s">
        <v>34</v>
      </c>
      <c r="Q26" s="10" t="s">
        <v>35</v>
      </c>
      <c r="R26" s="10" t="s">
        <v>36</v>
      </c>
      <c r="S26" s="11" t="s">
        <v>37</v>
      </c>
      <c r="T26" s="11" t="s">
        <v>37</v>
      </c>
      <c r="U26" s="11" t="s">
        <v>37</v>
      </c>
      <c r="V26" s="10" t="s">
        <v>143</v>
      </c>
      <c r="W26" s="10" t="s">
        <v>39</v>
      </c>
      <c r="X26" s="10" t="s">
        <v>39</v>
      </c>
    </row>
    <row r="27" customFormat="false" ht="15" hidden="false" customHeight="false" outlineLevel="0" collapsed="false">
      <c r="A27" s="5" t="s">
        <v>144</v>
      </c>
      <c r="B27" s="5" t="s">
        <v>145</v>
      </c>
      <c r="C27" s="5" t="s">
        <v>26</v>
      </c>
      <c r="D27" s="6" t="str">
        <f aca="false">VLOOKUP(B27,[3]master!$b$6:$V$252,21,0)</f>
        <v>9558916680</v>
      </c>
      <c r="F27" s="7" t="n">
        <v>33311</v>
      </c>
      <c r="G27" s="7" t="n">
        <v>33311</v>
      </c>
      <c r="H27" s="5" t="s">
        <v>27</v>
      </c>
      <c r="I27" s="8" t="s">
        <v>28</v>
      </c>
      <c r="K27" s="5" t="s">
        <v>112</v>
      </c>
      <c r="L27" s="5" t="s">
        <v>30</v>
      </c>
      <c r="M27" s="10" t="s">
        <v>146</v>
      </c>
      <c r="N27" s="10" t="s">
        <v>32</v>
      </c>
      <c r="O27" s="10" t="s">
        <v>105</v>
      </c>
      <c r="P27" s="10" t="s">
        <v>34</v>
      </c>
      <c r="Q27" s="10" t="s">
        <v>35</v>
      </c>
      <c r="R27" s="10" t="s">
        <v>36</v>
      </c>
      <c r="S27" s="11" t="s">
        <v>37</v>
      </c>
      <c r="T27" s="11" t="s">
        <v>37</v>
      </c>
      <c r="U27" s="11" t="s">
        <v>37</v>
      </c>
      <c r="V27" s="10" t="s">
        <v>147</v>
      </c>
      <c r="W27" s="10" t="s">
        <v>39</v>
      </c>
      <c r="X27" s="10" t="s">
        <v>39</v>
      </c>
    </row>
    <row r="28" customFormat="false" ht="15" hidden="false" customHeight="false" outlineLevel="0" collapsed="false">
      <c r="A28" s="5" t="s">
        <v>148</v>
      </c>
      <c r="B28" s="5" t="s">
        <v>149</v>
      </c>
      <c r="C28" s="5" t="s">
        <v>26</v>
      </c>
      <c r="D28" s="6" t="str">
        <f aca="false">VLOOKUP(B28,[3]master!$b$6:$V$252,21,0)</f>
        <v>7600290034</v>
      </c>
      <c r="F28" s="7" t="n">
        <v>25615</v>
      </c>
      <c r="G28" s="7" t="n">
        <v>25615</v>
      </c>
      <c r="H28" s="5" t="s">
        <v>27</v>
      </c>
      <c r="I28" s="8" t="s">
        <v>28</v>
      </c>
      <c r="K28" s="5" t="s">
        <v>112</v>
      </c>
      <c r="L28" s="5" t="s">
        <v>30</v>
      </c>
      <c r="M28" s="10" t="s">
        <v>150</v>
      </c>
      <c r="N28" s="10" t="s">
        <v>32</v>
      </c>
      <c r="O28" s="10" t="s">
        <v>151</v>
      </c>
      <c r="P28" s="10" t="s">
        <v>34</v>
      </c>
      <c r="Q28" s="10" t="s">
        <v>35</v>
      </c>
      <c r="R28" s="10" t="s">
        <v>36</v>
      </c>
      <c r="S28" s="11" t="s">
        <v>37</v>
      </c>
      <c r="T28" s="11" t="s">
        <v>37</v>
      </c>
      <c r="U28" s="11" t="s">
        <v>37</v>
      </c>
      <c r="V28" s="10" t="s">
        <v>152</v>
      </c>
      <c r="W28" s="10" t="s">
        <v>39</v>
      </c>
      <c r="X28" s="10" t="s">
        <v>39</v>
      </c>
    </row>
    <row r="29" customFormat="false" ht="15" hidden="false" customHeight="false" outlineLevel="0" collapsed="false">
      <c r="A29" s="5" t="s">
        <v>153</v>
      </c>
      <c r="B29" s="5" t="s">
        <v>154</v>
      </c>
      <c r="C29" s="5" t="s">
        <v>26</v>
      </c>
      <c r="D29" s="6" t="str">
        <f aca="false">VLOOKUP(B29,[3]master!$b$6:$V$252,21,0)</f>
        <v>9924816618</v>
      </c>
      <c r="F29" s="7" t="n">
        <v>35909</v>
      </c>
      <c r="G29" s="7" t="n">
        <v>35909</v>
      </c>
      <c r="H29" s="5" t="s">
        <v>27</v>
      </c>
      <c r="I29" s="8" t="s">
        <v>28</v>
      </c>
      <c r="K29" s="5" t="s">
        <v>112</v>
      </c>
      <c r="L29" s="5" t="s">
        <v>30</v>
      </c>
      <c r="M29" s="10" t="s">
        <v>142</v>
      </c>
      <c r="N29" s="10" t="s">
        <v>32</v>
      </c>
      <c r="O29" s="10" t="s">
        <v>155</v>
      </c>
      <c r="P29" s="10" t="s">
        <v>34</v>
      </c>
      <c r="Q29" s="10" t="s">
        <v>35</v>
      </c>
      <c r="R29" s="10" t="s">
        <v>36</v>
      </c>
      <c r="S29" s="11" t="s">
        <v>37</v>
      </c>
      <c r="T29" s="11" t="s">
        <v>37</v>
      </c>
      <c r="U29" s="11" t="s">
        <v>37</v>
      </c>
      <c r="V29" s="10" t="s">
        <v>156</v>
      </c>
      <c r="W29" s="10" t="s">
        <v>39</v>
      </c>
      <c r="X29" s="10" t="s">
        <v>39</v>
      </c>
    </row>
    <row r="30" customFormat="false" ht="15" hidden="false" customHeight="false" outlineLevel="0" collapsed="false">
      <c r="A30" s="5" t="s">
        <v>157</v>
      </c>
      <c r="B30" s="5" t="s">
        <v>158</v>
      </c>
      <c r="C30" s="5" t="s">
        <v>26</v>
      </c>
      <c r="D30" s="6" t="str">
        <f aca="false">VLOOKUP(B30,[3]master!$b$6:$V$252,21,0)</f>
        <v>8469389804</v>
      </c>
      <c r="F30" s="7" t="n">
        <v>31778</v>
      </c>
      <c r="G30" s="7" t="n">
        <v>31778</v>
      </c>
      <c r="H30" s="5" t="s">
        <v>27</v>
      </c>
      <c r="I30" s="8" t="s">
        <v>28</v>
      </c>
      <c r="K30" s="5" t="s">
        <v>112</v>
      </c>
      <c r="L30" s="5" t="s">
        <v>30</v>
      </c>
      <c r="M30" s="10" t="s">
        <v>137</v>
      </c>
      <c r="N30" s="10" t="s">
        <v>32</v>
      </c>
      <c r="O30" s="10" t="s">
        <v>159</v>
      </c>
      <c r="P30" s="10" t="s">
        <v>34</v>
      </c>
      <c r="Q30" s="10" t="s">
        <v>35</v>
      </c>
      <c r="R30" s="10" t="s">
        <v>36</v>
      </c>
      <c r="S30" s="11" t="s">
        <v>37</v>
      </c>
      <c r="T30" s="11" t="s">
        <v>37</v>
      </c>
      <c r="U30" s="11" t="s">
        <v>37</v>
      </c>
      <c r="V30" s="10" t="s">
        <v>160</v>
      </c>
      <c r="W30" s="10" t="s">
        <v>39</v>
      </c>
      <c r="X30" s="10" t="s">
        <v>39</v>
      </c>
    </row>
    <row r="31" customFormat="false" ht="15" hidden="false" customHeight="false" outlineLevel="0" collapsed="false">
      <c r="A31" s="5" t="s">
        <v>161</v>
      </c>
      <c r="B31" s="5" t="s">
        <v>162</v>
      </c>
      <c r="C31" s="5" t="s">
        <v>42</v>
      </c>
      <c r="D31" s="6" t="str">
        <f aca="false">VLOOKUP(B31,[3]master!$b$6:$V$252,21,0)</f>
        <v>9327269139</v>
      </c>
      <c r="F31" s="7" t="n">
        <v>33676</v>
      </c>
      <c r="G31" s="7" t="n">
        <v>33676</v>
      </c>
      <c r="H31" s="5" t="s">
        <v>47</v>
      </c>
      <c r="I31" s="8" t="s">
        <v>28</v>
      </c>
      <c r="K31" s="5" t="s">
        <v>112</v>
      </c>
      <c r="L31" s="5" t="s">
        <v>30</v>
      </c>
      <c r="M31" s="10" t="s">
        <v>70</v>
      </c>
      <c r="N31" s="10" t="s">
        <v>32</v>
      </c>
      <c r="O31" s="10" t="s">
        <v>151</v>
      </c>
      <c r="P31" s="10" t="s">
        <v>34</v>
      </c>
      <c r="Q31" s="10" t="s">
        <v>35</v>
      </c>
      <c r="R31" s="10" t="s">
        <v>36</v>
      </c>
      <c r="S31" s="11" t="s">
        <v>37</v>
      </c>
      <c r="T31" s="11" t="s">
        <v>37</v>
      </c>
      <c r="U31" s="11" t="s">
        <v>37</v>
      </c>
      <c r="V31" s="10" t="s">
        <v>163</v>
      </c>
      <c r="W31" s="10" t="s">
        <v>39</v>
      </c>
      <c r="X31" s="10" t="s">
        <v>39</v>
      </c>
    </row>
    <row r="32" customFormat="false" ht="15" hidden="false" customHeight="false" outlineLevel="0" collapsed="false">
      <c r="A32" s="5" t="s">
        <v>164</v>
      </c>
      <c r="B32" s="5" t="s">
        <v>165</v>
      </c>
      <c r="C32" s="5" t="s">
        <v>26</v>
      </c>
      <c r="D32" s="6" t="str">
        <f aca="false">VLOOKUP(B32,[3]master!$b$6:$V$252,21,0)</f>
        <v>9913786475</v>
      </c>
      <c r="F32" s="7" t="n">
        <v>33393</v>
      </c>
      <c r="G32" s="7" t="n">
        <v>33393</v>
      </c>
      <c r="H32" s="5" t="s">
        <v>47</v>
      </c>
      <c r="I32" s="8" t="s">
        <v>28</v>
      </c>
      <c r="K32" s="5" t="s">
        <v>112</v>
      </c>
      <c r="L32" s="5" t="s">
        <v>30</v>
      </c>
      <c r="M32" s="10" t="s">
        <v>49</v>
      </c>
      <c r="N32" s="10" t="s">
        <v>32</v>
      </c>
      <c r="O32" s="10" t="s">
        <v>166</v>
      </c>
      <c r="P32" s="10" t="s">
        <v>34</v>
      </c>
      <c r="Q32" s="10" t="s">
        <v>35</v>
      </c>
      <c r="R32" s="10" t="s">
        <v>36</v>
      </c>
      <c r="S32" s="11" t="s">
        <v>37</v>
      </c>
      <c r="T32" s="11" t="s">
        <v>37</v>
      </c>
      <c r="U32" s="11" t="s">
        <v>37</v>
      </c>
      <c r="V32" s="10" t="s">
        <v>167</v>
      </c>
      <c r="W32" s="10" t="s">
        <v>39</v>
      </c>
      <c r="X32" s="10" t="s">
        <v>39</v>
      </c>
    </row>
    <row r="33" customFormat="false" ht="15" hidden="false" customHeight="false" outlineLevel="0" collapsed="false">
      <c r="A33" s="5" t="s">
        <v>168</v>
      </c>
      <c r="B33" s="5" t="s">
        <v>169</v>
      </c>
      <c r="C33" s="5" t="s">
        <v>26</v>
      </c>
      <c r="D33" s="6" t="str">
        <f aca="false">VLOOKUP(B33,[3]master!$b$6:$V$252,21,0)</f>
        <v>9227390196</v>
      </c>
      <c r="F33" s="7" t="n">
        <v>27181</v>
      </c>
      <c r="G33" s="7" t="n">
        <v>27181</v>
      </c>
      <c r="H33" s="5" t="s">
        <v>47</v>
      </c>
      <c r="I33" s="8" t="s">
        <v>28</v>
      </c>
      <c r="K33" s="5" t="s">
        <v>112</v>
      </c>
      <c r="L33" s="5" t="s">
        <v>30</v>
      </c>
      <c r="M33" s="10" t="s">
        <v>70</v>
      </c>
      <c r="N33" s="10" t="s">
        <v>32</v>
      </c>
      <c r="O33" s="10" t="s">
        <v>170</v>
      </c>
      <c r="P33" s="10" t="s">
        <v>34</v>
      </c>
      <c r="Q33" s="10" t="s">
        <v>35</v>
      </c>
      <c r="R33" s="10" t="s">
        <v>36</v>
      </c>
      <c r="S33" s="11" t="s">
        <v>37</v>
      </c>
      <c r="T33" s="11" t="s">
        <v>37</v>
      </c>
      <c r="U33" s="11" t="s">
        <v>37</v>
      </c>
      <c r="V33" s="10" t="s">
        <v>171</v>
      </c>
      <c r="W33" s="10" t="s">
        <v>39</v>
      </c>
      <c r="X33" s="10" t="s">
        <v>39</v>
      </c>
    </row>
    <row r="34" customFormat="false" ht="15" hidden="false" customHeight="false" outlineLevel="0" collapsed="false">
      <c r="A34" s="5" t="s">
        <v>172</v>
      </c>
      <c r="B34" s="5" t="s">
        <v>173</v>
      </c>
      <c r="C34" s="5" t="s">
        <v>26</v>
      </c>
      <c r="D34" s="6" t="str">
        <f aca="false">VLOOKUP(B34,[3]master!$b$6:$V$252,21,0)</f>
        <v>9824743143</v>
      </c>
      <c r="F34" s="7" t="n">
        <v>31644</v>
      </c>
      <c r="G34" s="7" t="n">
        <v>31644</v>
      </c>
      <c r="H34" s="5" t="s">
        <v>27</v>
      </c>
      <c r="I34" s="8" t="s">
        <v>28</v>
      </c>
      <c r="K34" s="5" t="s">
        <v>112</v>
      </c>
      <c r="L34" s="5" t="s">
        <v>30</v>
      </c>
      <c r="M34" s="10" t="s">
        <v>174</v>
      </c>
      <c r="N34" s="10" t="s">
        <v>32</v>
      </c>
      <c r="O34" s="10" t="s">
        <v>175</v>
      </c>
      <c r="P34" s="10" t="s">
        <v>34</v>
      </c>
      <c r="Q34" s="10" t="s">
        <v>35</v>
      </c>
      <c r="R34" s="10" t="s">
        <v>36</v>
      </c>
      <c r="S34" s="11" t="s">
        <v>37</v>
      </c>
      <c r="T34" s="11" t="s">
        <v>37</v>
      </c>
      <c r="U34" s="11" t="s">
        <v>37</v>
      </c>
      <c r="V34" s="10" t="s">
        <v>176</v>
      </c>
      <c r="W34" s="10" t="s">
        <v>39</v>
      </c>
      <c r="X34" s="10" t="s">
        <v>39</v>
      </c>
    </row>
    <row r="35" customFormat="false" ht="15" hidden="false" customHeight="false" outlineLevel="0" collapsed="false">
      <c r="A35" s="5" t="s">
        <v>177</v>
      </c>
      <c r="B35" s="5" t="s">
        <v>178</v>
      </c>
      <c r="C35" s="5" t="s">
        <v>42</v>
      </c>
      <c r="D35" s="6" t="str">
        <f aca="false">VLOOKUP(B35,[3]master!$b$6:$V$252,21,0)</f>
        <v>9819423423</v>
      </c>
      <c r="F35" s="7" t="n">
        <v>26341</v>
      </c>
      <c r="G35" s="7" t="n">
        <v>26341</v>
      </c>
      <c r="H35" s="5" t="s">
        <v>27</v>
      </c>
      <c r="I35" s="8" t="s">
        <v>28</v>
      </c>
      <c r="K35" s="5" t="s">
        <v>112</v>
      </c>
      <c r="L35" s="5" t="s">
        <v>30</v>
      </c>
      <c r="M35" s="10" t="s">
        <v>31</v>
      </c>
      <c r="N35" s="10" t="s">
        <v>32</v>
      </c>
      <c r="O35" s="10" t="s">
        <v>179</v>
      </c>
      <c r="P35" s="10" t="s">
        <v>34</v>
      </c>
      <c r="Q35" s="10" t="s">
        <v>35</v>
      </c>
      <c r="R35" s="10" t="s">
        <v>36</v>
      </c>
      <c r="S35" s="11" t="s">
        <v>37</v>
      </c>
      <c r="T35" s="11" t="s">
        <v>37</v>
      </c>
      <c r="U35" s="11" t="s">
        <v>37</v>
      </c>
      <c r="V35" s="10" t="s">
        <v>180</v>
      </c>
      <c r="W35" s="10" t="s">
        <v>39</v>
      </c>
      <c r="X35" s="10" t="s">
        <v>39</v>
      </c>
    </row>
    <row r="36" customFormat="false" ht="15" hidden="false" customHeight="false" outlineLevel="0" collapsed="false">
      <c r="A36" s="5" t="s">
        <v>181</v>
      </c>
      <c r="B36" s="5" t="s">
        <v>182</v>
      </c>
      <c r="C36" s="5" t="s">
        <v>26</v>
      </c>
      <c r="D36" s="6" t="str">
        <f aca="false">VLOOKUP(B36,[3]master!$b$6:$V$252,21,0)</f>
        <v>9820026394</v>
      </c>
      <c r="F36" s="7" t="n">
        <v>25161</v>
      </c>
      <c r="G36" s="7" t="n">
        <v>25161</v>
      </c>
      <c r="H36" s="5" t="s">
        <v>27</v>
      </c>
      <c r="I36" s="8" t="s">
        <v>28</v>
      </c>
      <c r="K36" s="5" t="s">
        <v>112</v>
      </c>
      <c r="L36" s="5" t="s">
        <v>30</v>
      </c>
      <c r="M36" s="10" t="s">
        <v>31</v>
      </c>
      <c r="N36" s="10" t="s">
        <v>32</v>
      </c>
      <c r="O36" s="10" t="s">
        <v>183</v>
      </c>
      <c r="P36" s="10" t="s">
        <v>34</v>
      </c>
      <c r="Q36" s="10" t="s">
        <v>35</v>
      </c>
      <c r="R36" s="10" t="s">
        <v>36</v>
      </c>
      <c r="S36" s="11" t="s">
        <v>37</v>
      </c>
      <c r="T36" s="11" t="s">
        <v>37</v>
      </c>
      <c r="U36" s="11" t="s">
        <v>37</v>
      </c>
      <c r="V36" s="10" t="s">
        <v>184</v>
      </c>
      <c r="W36" s="10" t="s">
        <v>39</v>
      </c>
      <c r="X36" s="10" t="s">
        <v>39</v>
      </c>
    </row>
    <row r="37" customFormat="false" ht="15" hidden="false" customHeight="false" outlineLevel="0" collapsed="false">
      <c r="A37" s="5" t="s">
        <v>185</v>
      </c>
      <c r="B37" s="5" t="s">
        <v>186</v>
      </c>
      <c r="C37" s="5" t="s">
        <v>26</v>
      </c>
      <c r="D37" s="6" t="str">
        <f aca="false">VLOOKUP(B37,[3]master!$b$6:$V$252,21,0)</f>
        <v>8779653950</v>
      </c>
      <c r="F37" s="7" t="n">
        <v>31388</v>
      </c>
      <c r="G37" s="7" t="n">
        <v>31388</v>
      </c>
      <c r="H37" s="5" t="s">
        <v>27</v>
      </c>
      <c r="I37" s="8" t="s">
        <v>28</v>
      </c>
      <c r="K37" s="5" t="s">
        <v>112</v>
      </c>
      <c r="L37" s="5" t="s">
        <v>30</v>
      </c>
      <c r="M37" s="10" t="s">
        <v>187</v>
      </c>
      <c r="N37" s="10" t="s">
        <v>32</v>
      </c>
      <c r="O37" s="10" t="s">
        <v>175</v>
      </c>
      <c r="P37" s="10" t="s">
        <v>34</v>
      </c>
      <c r="Q37" s="10" t="s">
        <v>35</v>
      </c>
      <c r="R37" s="10" t="s">
        <v>36</v>
      </c>
      <c r="S37" s="11" t="s">
        <v>37</v>
      </c>
      <c r="T37" s="11" t="s">
        <v>37</v>
      </c>
      <c r="U37" s="11" t="s">
        <v>37</v>
      </c>
      <c r="V37" s="10" t="s">
        <v>188</v>
      </c>
      <c r="W37" s="10" t="s">
        <v>39</v>
      </c>
      <c r="X37" s="10" t="s">
        <v>39</v>
      </c>
    </row>
    <row r="38" customFormat="false" ht="15" hidden="false" customHeight="false" outlineLevel="0" collapsed="false">
      <c r="A38" s="5" t="s">
        <v>189</v>
      </c>
      <c r="B38" s="5" t="s">
        <v>190</v>
      </c>
      <c r="C38" s="5" t="s">
        <v>26</v>
      </c>
      <c r="D38" s="6" t="str">
        <f aca="false">VLOOKUP(B38,[3]master!$b$6:$V$252,21,0)</f>
        <v>9427642423</v>
      </c>
      <c r="F38" s="7" t="n">
        <v>33811</v>
      </c>
      <c r="G38" s="7" t="n">
        <v>33811</v>
      </c>
      <c r="H38" s="5" t="s">
        <v>27</v>
      </c>
      <c r="I38" s="8" t="s">
        <v>28</v>
      </c>
      <c r="K38" s="5" t="s">
        <v>112</v>
      </c>
      <c r="L38" s="5" t="s">
        <v>30</v>
      </c>
      <c r="M38" s="10" t="s">
        <v>113</v>
      </c>
      <c r="N38" s="10" t="s">
        <v>32</v>
      </c>
      <c r="O38" s="10" t="s">
        <v>114</v>
      </c>
      <c r="P38" s="10" t="s">
        <v>34</v>
      </c>
      <c r="Q38" s="10" t="s">
        <v>35</v>
      </c>
      <c r="R38" s="10" t="s">
        <v>36</v>
      </c>
      <c r="S38" s="11" t="s">
        <v>37</v>
      </c>
      <c r="T38" s="11" t="s">
        <v>37</v>
      </c>
      <c r="U38" s="11" t="s">
        <v>37</v>
      </c>
      <c r="V38" s="10" t="s">
        <v>191</v>
      </c>
      <c r="W38" s="10" t="s">
        <v>39</v>
      </c>
      <c r="X38" s="10" t="s">
        <v>39</v>
      </c>
    </row>
    <row r="39" customFormat="false" ht="15" hidden="false" customHeight="false" outlineLevel="0" collapsed="false">
      <c r="A39" s="5" t="s">
        <v>192</v>
      </c>
      <c r="B39" s="5" t="s">
        <v>193</v>
      </c>
      <c r="C39" s="5" t="s">
        <v>26</v>
      </c>
      <c r="D39" s="6" t="str">
        <f aca="false">VLOOKUP(B39,[3]master!$b$6:$V$252,21,0)</f>
        <v>7201821352</v>
      </c>
      <c r="F39" s="7" t="n">
        <v>33766</v>
      </c>
      <c r="G39" s="7" t="n">
        <v>33766</v>
      </c>
      <c r="H39" s="5" t="s">
        <v>54</v>
      </c>
      <c r="I39" s="8" t="s">
        <v>28</v>
      </c>
      <c r="K39" s="5" t="s">
        <v>112</v>
      </c>
      <c r="L39" s="5" t="s">
        <v>30</v>
      </c>
      <c r="M39" s="10" t="s">
        <v>113</v>
      </c>
      <c r="N39" s="10" t="s">
        <v>32</v>
      </c>
      <c r="O39" s="10" t="s">
        <v>194</v>
      </c>
      <c r="P39" s="10" t="s">
        <v>34</v>
      </c>
      <c r="Q39" s="10" t="s">
        <v>35</v>
      </c>
      <c r="R39" s="10" t="s">
        <v>36</v>
      </c>
      <c r="S39" s="11" t="s">
        <v>37</v>
      </c>
      <c r="T39" s="11" t="s">
        <v>37</v>
      </c>
      <c r="U39" s="11" t="s">
        <v>37</v>
      </c>
      <c r="V39" s="10" t="s">
        <v>195</v>
      </c>
      <c r="W39" s="10" t="s">
        <v>39</v>
      </c>
      <c r="X39" s="10" t="s">
        <v>39</v>
      </c>
    </row>
    <row r="40" customFormat="false" ht="15" hidden="false" customHeight="false" outlineLevel="0" collapsed="false">
      <c r="A40" s="5" t="s">
        <v>196</v>
      </c>
      <c r="B40" s="5" t="s">
        <v>197</v>
      </c>
      <c r="C40" s="5" t="s">
        <v>26</v>
      </c>
      <c r="D40" s="6" t="str">
        <f aca="false">VLOOKUP(B40,[3]master!$b$6:$V$252,21,0)</f>
        <v>9879179895</v>
      </c>
      <c r="F40" s="7" t="n">
        <v>31822</v>
      </c>
      <c r="G40" s="7" t="n">
        <v>31822</v>
      </c>
      <c r="H40" s="5" t="s">
        <v>54</v>
      </c>
      <c r="I40" s="8" t="s">
        <v>28</v>
      </c>
      <c r="K40" s="5" t="s">
        <v>112</v>
      </c>
      <c r="L40" s="5" t="s">
        <v>30</v>
      </c>
      <c r="M40" s="10" t="s">
        <v>198</v>
      </c>
      <c r="N40" s="10" t="s">
        <v>32</v>
      </c>
      <c r="O40" s="10" t="s">
        <v>199</v>
      </c>
      <c r="P40" s="10" t="s">
        <v>34</v>
      </c>
      <c r="Q40" s="10" t="s">
        <v>35</v>
      </c>
      <c r="R40" s="10" t="s">
        <v>36</v>
      </c>
      <c r="S40" s="11" t="s">
        <v>37</v>
      </c>
      <c r="T40" s="11" t="s">
        <v>37</v>
      </c>
      <c r="U40" s="11" t="s">
        <v>37</v>
      </c>
      <c r="V40" s="10" t="s">
        <v>200</v>
      </c>
      <c r="W40" s="10" t="s">
        <v>39</v>
      </c>
      <c r="X40" s="10" t="s">
        <v>39</v>
      </c>
    </row>
    <row r="41" customFormat="false" ht="15" hidden="false" customHeight="false" outlineLevel="0" collapsed="false">
      <c r="A41" s="5" t="s">
        <v>201</v>
      </c>
      <c r="B41" s="5" t="s">
        <v>202</v>
      </c>
      <c r="C41" s="5" t="s">
        <v>26</v>
      </c>
      <c r="D41" s="6" t="str">
        <f aca="false">VLOOKUP(B41,[3]master!$b$6:$V$252,21,0)</f>
        <v>8140685345</v>
      </c>
      <c r="F41" s="7" t="n">
        <v>35210</v>
      </c>
      <c r="G41" s="7" t="n">
        <v>35210</v>
      </c>
      <c r="H41" s="5" t="s">
        <v>54</v>
      </c>
      <c r="I41" s="8" t="s">
        <v>28</v>
      </c>
      <c r="K41" s="5" t="s">
        <v>112</v>
      </c>
      <c r="L41" s="5" t="s">
        <v>30</v>
      </c>
      <c r="M41" s="10" t="s">
        <v>203</v>
      </c>
      <c r="N41" s="10" t="s">
        <v>32</v>
      </c>
      <c r="O41" s="10" t="s">
        <v>159</v>
      </c>
      <c r="P41" s="10" t="s">
        <v>34</v>
      </c>
      <c r="Q41" s="10" t="s">
        <v>35</v>
      </c>
      <c r="R41" s="10" t="s">
        <v>36</v>
      </c>
      <c r="S41" s="11" t="s">
        <v>37</v>
      </c>
      <c r="T41" s="11" t="s">
        <v>37</v>
      </c>
      <c r="U41" s="11" t="s">
        <v>37</v>
      </c>
      <c r="V41" s="10" t="s">
        <v>204</v>
      </c>
      <c r="W41" s="10" t="s">
        <v>39</v>
      </c>
      <c r="X41" s="10" t="s">
        <v>39</v>
      </c>
    </row>
    <row r="42" customFormat="false" ht="15" hidden="false" customHeight="false" outlineLevel="0" collapsed="false">
      <c r="A42" s="5" t="s">
        <v>205</v>
      </c>
      <c r="B42" s="5" t="s">
        <v>206</v>
      </c>
      <c r="C42" s="5" t="s">
        <v>26</v>
      </c>
      <c r="D42" s="6" t="str">
        <f aca="false">VLOOKUP(B42,[3]master!$b$6:$V$252,21,0)</f>
        <v>9879177015</v>
      </c>
      <c r="F42" s="7" t="n">
        <v>29738</v>
      </c>
      <c r="G42" s="7" t="n">
        <v>29738</v>
      </c>
      <c r="H42" s="5" t="s">
        <v>47</v>
      </c>
      <c r="I42" s="8" t="s">
        <v>28</v>
      </c>
      <c r="K42" s="5" t="s">
        <v>112</v>
      </c>
      <c r="L42" s="5" t="s">
        <v>30</v>
      </c>
      <c r="M42" s="10" t="s">
        <v>146</v>
      </c>
      <c r="N42" s="10" t="s">
        <v>32</v>
      </c>
      <c r="O42" s="10" t="s">
        <v>207</v>
      </c>
      <c r="P42" s="10" t="s">
        <v>34</v>
      </c>
      <c r="Q42" s="10" t="s">
        <v>35</v>
      </c>
      <c r="R42" s="10" t="s">
        <v>36</v>
      </c>
      <c r="S42" s="11" t="s">
        <v>37</v>
      </c>
      <c r="T42" s="11" t="s">
        <v>37</v>
      </c>
      <c r="U42" s="11" t="s">
        <v>37</v>
      </c>
      <c r="V42" s="10" t="s">
        <v>208</v>
      </c>
      <c r="W42" s="10" t="s">
        <v>39</v>
      </c>
      <c r="X42" s="10" t="s">
        <v>39</v>
      </c>
    </row>
    <row r="43" customFormat="false" ht="15" hidden="false" customHeight="false" outlineLevel="0" collapsed="false">
      <c r="A43" s="5" t="s">
        <v>209</v>
      </c>
      <c r="B43" s="5" t="s">
        <v>210</v>
      </c>
      <c r="C43" s="5" t="s">
        <v>26</v>
      </c>
      <c r="D43" s="6" t="str">
        <f aca="false">VLOOKUP(B43,[3]master!$b$6:$V$252,21,0)</f>
        <v>8347999025</v>
      </c>
      <c r="F43" s="7" t="n">
        <v>35183</v>
      </c>
      <c r="G43" s="7" t="n">
        <v>35183</v>
      </c>
      <c r="H43" s="5" t="s">
        <v>54</v>
      </c>
      <c r="I43" s="8" t="s">
        <v>28</v>
      </c>
      <c r="K43" s="5" t="s">
        <v>112</v>
      </c>
      <c r="L43" s="5" t="s">
        <v>30</v>
      </c>
      <c r="M43" s="10" t="s">
        <v>123</v>
      </c>
      <c r="N43" s="10" t="s">
        <v>32</v>
      </c>
      <c r="O43" s="10" t="s">
        <v>211</v>
      </c>
      <c r="P43" s="10" t="s">
        <v>34</v>
      </c>
      <c r="Q43" s="10" t="s">
        <v>35</v>
      </c>
      <c r="R43" s="10" t="s">
        <v>36</v>
      </c>
      <c r="S43" s="11" t="s">
        <v>37</v>
      </c>
      <c r="T43" s="11" t="s">
        <v>37</v>
      </c>
      <c r="U43" s="11" t="s">
        <v>37</v>
      </c>
      <c r="V43" s="10" t="s">
        <v>212</v>
      </c>
      <c r="W43" s="10" t="s">
        <v>39</v>
      </c>
      <c r="X43" s="10" t="s">
        <v>39</v>
      </c>
    </row>
    <row r="44" customFormat="false" ht="15" hidden="false" customHeight="false" outlineLevel="0" collapsed="false">
      <c r="A44" s="5" t="s">
        <v>213</v>
      </c>
      <c r="B44" s="5" t="s">
        <v>214</v>
      </c>
      <c r="C44" s="5" t="s">
        <v>42</v>
      </c>
      <c r="D44" s="6" t="str">
        <f aca="false">VLOOKUP(B44,[3]master!$b$6:$V$252,21,0)</f>
        <v>9726368931</v>
      </c>
      <c r="F44" s="7" t="n">
        <v>33197</v>
      </c>
      <c r="G44" s="7" t="n">
        <v>33197</v>
      </c>
      <c r="H44" s="5" t="s">
        <v>47</v>
      </c>
      <c r="I44" s="8" t="s">
        <v>28</v>
      </c>
      <c r="K44" s="5" t="s">
        <v>112</v>
      </c>
      <c r="L44" s="5" t="s">
        <v>30</v>
      </c>
      <c r="M44" s="10" t="s">
        <v>215</v>
      </c>
      <c r="N44" s="10" t="s">
        <v>32</v>
      </c>
      <c r="O44" s="10" t="s">
        <v>211</v>
      </c>
      <c r="P44" s="10" t="s">
        <v>34</v>
      </c>
      <c r="Q44" s="10" t="s">
        <v>35</v>
      </c>
      <c r="R44" s="10" t="s">
        <v>36</v>
      </c>
      <c r="S44" s="11" t="s">
        <v>37</v>
      </c>
      <c r="T44" s="11" t="s">
        <v>37</v>
      </c>
      <c r="U44" s="11" t="s">
        <v>37</v>
      </c>
      <c r="V44" s="10" t="s">
        <v>216</v>
      </c>
      <c r="W44" s="10" t="s">
        <v>39</v>
      </c>
      <c r="X44" s="10" t="s">
        <v>39</v>
      </c>
    </row>
    <row r="45" customFormat="false" ht="15" hidden="false" customHeight="false" outlineLevel="0" collapsed="false">
      <c r="A45" s="5" t="s">
        <v>217</v>
      </c>
      <c r="B45" s="5" t="s">
        <v>218</v>
      </c>
      <c r="C45" s="5" t="s">
        <v>26</v>
      </c>
      <c r="D45" s="6" t="str">
        <f aca="false">VLOOKUP(B45,[3]master!$b$6:$V$252,21,0)</f>
        <v>9875177015</v>
      </c>
      <c r="F45" s="7" t="n">
        <v>30558</v>
      </c>
      <c r="G45" s="7" t="n">
        <v>30558</v>
      </c>
      <c r="H45" s="5" t="s">
        <v>47</v>
      </c>
      <c r="I45" s="8" t="s">
        <v>28</v>
      </c>
      <c r="K45" s="5" t="s">
        <v>112</v>
      </c>
      <c r="L45" s="5" t="s">
        <v>30</v>
      </c>
      <c r="M45" s="10" t="s">
        <v>146</v>
      </c>
      <c r="N45" s="10" t="s">
        <v>32</v>
      </c>
      <c r="O45" s="10" t="s">
        <v>219</v>
      </c>
      <c r="P45" s="10" t="s">
        <v>34</v>
      </c>
      <c r="Q45" s="10" t="s">
        <v>35</v>
      </c>
      <c r="R45" s="10" t="s">
        <v>36</v>
      </c>
      <c r="S45" s="11" t="s">
        <v>37</v>
      </c>
      <c r="T45" s="11" t="s">
        <v>37</v>
      </c>
      <c r="U45" s="11" t="s">
        <v>37</v>
      </c>
      <c r="V45" s="10" t="s">
        <v>220</v>
      </c>
      <c r="W45" s="10" t="s">
        <v>39</v>
      </c>
      <c r="X45" s="10" t="s">
        <v>39</v>
      </c>
    </row>
    <row r="46" customFormat="false" ht="15" hidden="false" customHeight="false" outlineLevel="0" collapsed="false">
      <c r="A46" s="5" t="s">
        <v>221</v>
      </c>
      <c r="B46" s="5" t="s">
        <v>222</v>
      </c>
      <c r="C46" s="5" t="s">
        <v>26</v>
      </c>
      <c r="D46" s="6" t="str">
        <f aca="false">VLOOKUP(B46,[3]master!$b$6:$V$252,21,0)</f>
        <v>9909095392</v>
      </c>
      <c r="F46" s="7" t="n">
        <v>29037</v>
      </c>
      <c r="G46" s="7" t="n">
        <v>29037</v>
      </c>
      <c r="H46" s="5" t="s">
        <v>47</v>
      </c>
      <c r="I46" s="8" t="s">
        <v>28</v>
      </c>
      <c r="K46" s="5" t="s">
        <v>112</v>
      </c>
      <c r="L46" s="5" t="s">
        <v>30</v>
      </c>
      <c r="M46" s="10" t="s">
        <v>223</v>
      </c>
      <c r="N46" s="10" t="s">
        <v>32</v>
      </c>
      <c r="O46" s="10" t="s">
        <v>224</v>
      </c>
      <c r="P46" s="10" t="s">
        <v>34</v>
      </c>
      <c r="Q46" s="10" t="s">
        <v>35</v>
      </c>
      <c r="R46" s="10" t="s">
        <v>36</v>
      </c>
      <c r="S46" s="11" t="s">
        <v>37</v>
      </c>
      <c r="T46" s="11" t="s">
        <v>37</v>
      </c>
      <c r="U46" s="11" t="s">
        <v>37</v>
      </c>
      <c r="V46" s="10" t="s">
        <v>225</v>
      </c>
      <c r="W46" s="10" t="s">
        <v>39</v>
      </c>
      <c r="X46" s="10" t="s">
        <v>39</v>
      </c>
    </row>
    <row r="47" customFormat="false" ht="15" hidden="false" customHeight="false" outlineLevel="0" collapsed="false">
      <c r="A47" s="5" t="s">
        <v>226</v>
      </c>
      <c r="B47" s="5" t="s">
        <v>227</v>
      </c>
      <c r="C47" s="5" t="s">
        <v>26</v>
      </c>
      <c r="D47" s="6" t="str">
        <f aca="false">VLOOKUP(B47,[3]master!$b$6:$V$252,21,0)</f>
        <v>7359141621</v>
      </c>
      <c r="F47" s="7" t="n">
        <v>31030</v>
      </c>
      <c r="G47" s="7" t="n">
        <v>31030</v>
      </c>
      <c r="H47" s="5" t="s">
        <v>228</v>
      </c>
      <c r="I47" s="8" t="s">
        <v>28</v>
      </c>
      <c r="K47" s="5" t="s">
        <v>112</v>
      </c>
      <c r="L47" s="5" t="s">
        <v>30</v>
      </c>
      <c r="M47" s="10" t="s">
        <v>142</v>
      </c>
      <c r="N47" s="10" t="s">
        <v>32</v>
      </c>
      <c r="O47" s="10" t="s">
        <v>132</v>
      </c>
      <c r="P47" s="10" t="s">
        <v>34</v>
      </c>
      <c r="Q47" s="10" t="s">
        <v>35</v>
      </c>
      <c r="R47" s="10" t="s">
        <v>36</v>
      </c>
      <c r="S47" s="11" t="s">
        <v>37</v>
      </c>
      <c r="T47" s="11" t="s">
        <v>37</v>
      </c>
      <c r="U47" s="11" t="s">
        <v>37</v>
      </c>
      <c r="V47" s="10" t="s">
        <v>229</v>
      </c>
      <c r="W47" s="10" t="s">
        <v>39</v>
      </c>
      <c r="X47" s="10" t="s">
        <v>39</v>
      </c>
    </row>
    <row r="48" customFormat="false" ht="15" hidden="false" customHeight="false" outlineLevel="0" collapsed="false">
      <c r="A48" s="5" t="s">
        <v>230</v>
      </c>
      <c r="B48" s="5" t="s">
        <v>231</v>
      </c>
      <c r="C48" s="5" t="s">
        <v>26</v>
      </c>
      <c r="D48" s="6" t="str">
        <f aca="false">VLOOKUP(B48,[3]master!$b$6:$V$252,21,0)</f>
        <v>9099105358</v>
      </c>
      <c r="F48" s="7" t="n">
        <v>31213</v>
      </c>
      <c r="G48" s="7" t="n">
        <v>31213</v>
      </c>
      <c r="H48" s="5" t="s">
        <v>54</v>
      </c>
      <c r="I48" s="8" t="s">
        <v>28</v>
      </c>
      <c r="K48" s="5" t="s">
        <v>112</v>
      </c>
      <c r="L48" s="5" t="s">
        <v>30</v>
      </c>
      <c r="M48" s="10" t="s">
        <v>223</v>
      </c>
      <c r="N48" s="10" t="s">
        <v>32</v>
      </c>
      <c r="O48" s="10" t="s">
        <v>232</v>
      </c>
      <c r="P48" s="10" t="s">
        <v>34</v>
      </c>
      <c r="Q48" s="10" t="s">
        <v>35</v>
      </c>
      <c r="R48" s="10" t="s">
        <v>36</v>
      </c>
      <c r="S48" s="11" t="s">
        <v>37</v>
      </c>
      <c r="T48" s="11" t="s">
        <v>37</v>
      </c>
      <c r="U48" s="11" t="s">
        <v>37</v>
      </c>
      <c r="V48" s="10" t="s">
        <v>233</v>
      </c>
      <c r="W48" s="10" t="s">
        <v>39</v>
      </c>
      <c r="X48" s="10" t="s">
        <v>39</v>
      </c>
    </row>
    <row r="49" customFormat="false" ht="15" hidden="false" customHeight="false" outlineLevel="0" collapsed="false">
      <c r="A49" s="5" t="s">
        <v>234</v>
      </c>
      <c r="B49" s="5" t="s">
        <v>235</v>
      </c>
      <c r="C49" s="5" t="s">
        <v>26</v>
      </c>
      <c r="D49" s="6" t="str">
        <f aca="false">VLOOKUP(B49,[3]master!$b$6:$V$252,21,0)</f>
        <v>8153065978</v>
      </c>
      <c r="F49" s="7" t="n">
        <v>36010</v>
      </c>
      <c r="G49" s="7" t="n">
        <v>36010</v>
      </c>
      <c r="H49" s="5" t="s">
        <v>54</v>
      </c>
      <c r="I49" s="8" t="s">
        <v>28</v>
      </c>
      <c r="K49" s="5" t="s">
        <v>112</v>
      </c>
      <c r="L49" s="5" t="s">
        <v>30</v>
      </c>
      <c r="M49" s="10" t="s">
        <v>113</v>
      </c>
      <c r="N49" s="10" t="s">
        <v>32</v>
      </c>
      <c r="O49" s="10" t="s">
        <v>114</v>
      </c>
      <c r="P49" s="10" t="s">
        <v>34</v>
      </c>
      <c r="Q49" s="10" t="s">
        <v>35</v>
      </c>
      <c r="R49" s="10" t="s">
        <v>36</v>
      </c>
      <c r="S49" s="11" t="s">
        <v>37</v>
      </c>
      <c r="T49" s="11" t="s">
        <v>37</v>
      </c>
      <c r="U49" s="11" t="s">
        <v>37</v>
      </c>
      <c r="V49" s="10" t="s">
        <v>236</v>
      </c>
      <c r="W49" s="10" t="s">
        <v>39</v>
      </c>
      <c r="X49" s="10" t="s">
        <v>39</v>
      </c>
    </row>
    <row r="50" customFormat="false" ht="15" hidden="false" customHeight="false" outlineLevel="0" collapsed="false">
      <c r="A50" s="5" t="s">
        <v>237</v>
      </c>
      <c r="B50" s="5" t="s">
        <v>238</v>
      </c>
      <c r="C50" s="5" t="s">
        <v>26</v>
      </c>
      <c r="D50" s="6" t="str">
        <f aca="false">VLOOKUP(B50,[3]master!$b$6:$V$252,21,0)</f>
        <v>9638287034</v>
      </c>
      <c r="F50" s="7" t="n">
        <v>35536</v>
      </c>
      <c r="G50" s="7" t="n">
        <v>35536</v>
      </c>
      <c r="H50" s="5" t="s">
        <v>54</v>
      </c>
      <c r="I50" s="8" t="s">
        <v>28</v>
      </c>
      <c r="K50" s="5" t="s">
        <v>112</v>
      </c>
      <c r="L50" s="5" t="s">
        <v>30</v>
      </c>
      <c r="M50" s="10" t="s">
        <v>215</v>
      </c>
      <c r="N50" s="10" t="s">
        <v>32</v>
      </c>
      <c r="O50" s="10" t="s">
        <v>114</v>
      </c>
      <c r="P50" s="10" t="s">
        <v>34</v>
      </c>
      <c r="Q50" s="10" t="s">
        <v>35</v>
      </c>
      <c r="R50" s="10" t="s">
        <v>36</v>
      </c>
      <c r="S50" s="11" t="s">
        <v>37</v>
      </c>
      <c r="T50" s="11" t="s">
        <v>37</v>
      </c>
      <c r="U50" s="11" t="s">
        <v>37</v>
      </c>
      <c r="V50" s="10" t="s">
        <v>239</v>
      </c>
      <c r="W50" s="10" t="s">
        <v>39</v>
      </c>
      <c r="X50" s="10" t="s">
        <v>39</v>
      </c>
    </row>
    <row r="51" customFormat="false" ht="15" hidden="false" customHeight="false" outlineLevel="0" collapsed="false">
      <c r="A51" s="5" t="s">
        <v>240</v>
      </c>
      <c r="B51" s="5" t="s">
        <v>241</v>
      </c>
      <c r="C51" s="5" t="s">
        <v>26</v>
      </c>
      <c r="D51" s="6" t="str">
        <f aca="false">VLOOKUP(B51,[3]master!$b$6:$V$252,21,0)</f>
        <v>9033057725</v>
      </c>
      <c r="F51" s="7" t="n">
        <v>27956</v>
      </c>
      <c r="G51" s="7" t="n">
        <v>27956</v>
      </c>
      <c r="H51" s="5" t="s">
        <v>47</v>
      </c>
      <c r="I51" s="8" t="s">
        <v>28</v>
      </c>
      <c r="K51" s="5" t="s">
        <v>112</v>
      </c>
      <c r="L51" s="5" t="s">
        <v>30</v>
      </c>
      <c r="M51" s="10" t="s">
        <v>118</v>
      </c>
      <c r="N51" s="10" t="s">
        <v>32</v>
      </c>
      <c r="O51" s="10" t="s">
        <v>119</v>
      </c>
      <c r="P51" s="10" t="s">
        <v>34</v>
      </c>
      <c r="Q51" s="10" t="s">
        <v>35</v>
      </c>
      <c r="R51" s="10" t="s">
        <v>36</v>
      </c>
      <c r="S51" s="11" t="s">
        <v>37</v>
      </c>
      <c r="T51" s="11" t="s">
        <v>37</v>
      </c>
      <c r="U51" s="11" t="s">
        <v>37</v>
      </c>
      <c r="V51" s="10" t="s">
        <v>242</v>
      </c>
      <c r="W51" s="10" t="s">
        <v>39</v>
      </c>
      <c r="X51" s="10" t="s">
        <v>39</v>
      </c>
    </row>
    <row r="52" customFormat="false" ht="15" hidden="false" customHeight="false" outlineLevel="0" collapsed="false">
      <c r="A52" s="5" t="s">
        <v>243</v>
      </c>
      <c r="B52" s="5" t="s">
        <v>244</v>
      </c>
      <c r="C52" s="5" t="s">
        <v>26</v>
      </c>
      <c r="D52" s="6" t="str">
        <f aca="false">VLOOKUP(B52,[3]master!$b$6:$V$252,21,0)</f>
        <v>9322227932</v>
      </c>
      <c r="F52" s="7" t="n">
        <v>28718</v>
      </c>
      <c r="G52" s="7" t="n">
        <v>28718</v>
      </c>
      <c r="H52" s="5" t="s">
        <v>54</v>
      </c>
      <c r="I52" s="8" t="s">
        <v>28</v>
      </c>
      <c r="K52" s="5" t="s">
        <v>112</v>
      </c>
      <c r="L52" s="5" t="s">
        <v>30</v>
      </c>
      <c r="M52" s="10" t="s">
        <v>187</v>
      </c>
      <c r="N52" s="10" t="s">
        <v>32</v>
      </c>
      <c r="O52" s="10" t="s">
        <v>175</v>
      </c>
      <c r="P52" s="10" t="s">
        <v>34</v>
      </c>
      <c r="Q52" s="10" t="s">
        <v>35</v>
      </c>
      <c r="R52" s="10" t="s">
        <v>36</v>
      </c>
      <c r="S52" s="11" t="s">
        <v>37</v>
      </c>
      <c r="T52" s="11" t="s">
        <v>37</v>
      </c>
      <c r="U52" s="11" t="s">
        <v>37</v>
      </c>
      <c r="V52" s="10" t="s">
        <v>245</v>
      </c>
      <c r="W52" s="10" t="s">
        <v>39</v>
      </c>
      <c r="X52" s="10" t="s">
        <v>39</v>
      </c>
    </row>
    <row r="53" customFormat="false" ht="15" hidden="false" customHeight="false" outlineLevel="0" collapsed="false">
      <c r="A53" s="5" t="s">
        <v>246</v>
      </c>
      <c r="B53" s="5" t="s">
        <v>247</v>
      </c>
      <c r="C53" s="5" t="s">
        <v>42</v>
      </c>
      <c r="D53" s="6" t="n">
        <v>9920701424</v>
      </c>
      <c r="F53" s="7" t="n">
        <v>32177</v>
      </c>
      <c r="G53" s="7" t="n">
        <v>32177</v>
      </c>
      <c r="H53" s="5" t="s">
        <v>54</v>
      </c>
      <c r="I53" s="8" t="s">
        <v>28</v>
      </c>
      <c r="K53" s="5" t="s">
        <v>112</v>
      </c>
      <c r="L53" s="5" t="s">
        <v>30</v>
      </c>
      <c r="M53" s="10" t="s">
        <v>187</v>
      </c>
      <c r="N53" s="10" t="s">
        <v>32</v>
      </c>
      <c r="O53" s="10" t="s">
        <v>175</v>
      </c>
      <c r="P53" s="10" t="s">
        <v>34</v>
      </c>
      <c r="Q53" s="10" t="s">
        <v>35</v>
      </c>
      <c r="R53" s="10" t="s">
        <v>36</v>
      </c>
      <c r="S53" s="11" t="s">
        <v>37</v>
      </c>
      <c r="T53" s="11" t="s">
        <v>37</v>
      </c>
      <c r="U53" s="11" t="s">
        <v>37</v>
      </c>
      <c r="V53" s="10" t="s">
        <v>248</v>
      </c>
      <c r="W53" s="10" t="s">
        <v>39</v>
      </c>
      <c r="X53" s="10" t="s">
        <v>39</v>
      </c>
    </row>
    <row r="54" customFormat="false" ht="15" hidden="false" customHeight="false" outlineLevel="0" collapsed="false">
      <c r="A54" s="5" t="s">
        <v>249</v>
      </c>
      <c r="B54" s="5" t="s">
        <v>250</v>
      </c>
      <c r="C54" s="5" t="s">
        <v>42</v>
      </c>
      <c r="D54" s="6" t="str">
        <f aca="false">VLOOKUP(B54,[3]master!$b$6:$V$252,21,0)</f>
        <v>9773029546</v>
      </c>
      <c r="F54" s="7" t="n">
        <v>29240</v>
      </c>
      <c r="G54" s="7" t="n">
        <v>29240</v>
      </c>
      <c r="H54" s="5" t="s">
        <v>54</v>
      </c>
      <c r="I54" s="8" t="s">
        <v>28</v>
      </c>
      <c r="K54" s="5" t="s">
        <v>112</v>
      </c>
      <c r="L54" s="5" t="s">
        <v>30</v>
      </c>
      <c r="M54" s="10" t="s">
        <v>187</v>
      </c>
      <c r="N54" s="10" t="s">
        <v>32</v>
      </c>
      <c r="O54" s="10" t="s">
        <v>175</v>
      </c>
      <c r="P54" s="10" t="s">
        <v>34</v>
      </c>
      <c r="Q54" s="10" t="s">
        <v>35</v>
      </c>
      <c r="R54" s="10" t="s">
        <v>36</v>
      </c>
      <c r="S54" s="11" t="s">
        <v>37</v>
      </c>
      <c r="T54" s="11" t="s">
        <v>37</v>
      </c>
      <c r="U54" s="11" t="s">
        <v>37</v>
      </c>
      <c r="V54" s="10" t="s">
        <v>251</v>
      </c>
      <c r="W54" s="10" t="s">
        <v>39</v>
      </c>
      <c r="X54" s="10" t="s">
        <v>39</v>
      </c>
    </row>
    <row r="55" customFormat="false" ht="15" hidden="false" customHeight="false" outlineLevel="0" collapsed="false">
      <c r="A55" s="5" t="s">
        <v>252</v>
      </c>
      <c r="B55" s="5" t="s">
        <v>253</v>
      </c>
      <c r="C55" s="5" t="s">
        <v>26</v>
      </c>
      <c r="D55" s="6" t="str">
        <f aca="false">VLOOKUP(B55,[3]master!$b$6:$V$252,21,0)</f>
        <v>9909434244</v>
      </c>
      <c r="F55" s="7" t="n">
        <v>32406</v>
      </c>
      <c r="G55" s="7" t="n">
        <v>32406</v>
      </c>
      <c r="H55" s="5" t="s">
        <v>27</v>
      </c>
      <c r="I55" s="8" t="s">
        <v>28</v>
      </c>
      <c r="K55" s="5" t="s">
        <v>112</v>
      </c>
      <c r="L55" s="5" t="s">
        <v>30</v>
      </c>
      <c r="M55" s="10" t="s">
        <v>70</v>
      </c>
      <c r="N55" s="10" t="s">
        <v>32</v>
      </c>
      <c r="O55" s="10" t="s">
        <v>105</v>
      </c>
      <c r="P55" s="10" t="s">
        <v>34</v>
      </c>
      <c r="Q55" s="10" t="s">
        <v>35</v>
      </c>
      <c r="R55" s="10" t="s">
        <v>36</v>
      </c>
      <c r="S55" s="11" t="s">
        <v>37</v>
      </c>
      <c r="T55" s="11" t="s">
        <v>37</v>
      </c>
      <c r="U55" s="11" t="s">
        <v>37</v>
      </c>
      <c r="V55" s="10" t="s">
        <v>254</v>
      </c>
      <c r="W55" s="10" t="s">
        <v>39</v>
      </c>
      <c r="X55" s="10" t="s">
        <v>39</v>
      </c>
    </row>
    <row r="56" customFormat="false" ht="15" hidden="false" customHeight="false" outlineLevel="0" collapsed="false">
      <c r="A56" s="5" t="s">
        <v>255</v>
      </c>
      <c r="B56" s="5" t="s">
        <v>256</v>
      </c>
      <c r="C56" s="5" t="s">
        <v>26</v>
      </c>
      <c r="D56" s="6" t="str">
        <f aca="false">VLOOKUP(B56,[3]master!$b$6:$V$252,21,0)</f>
        <v>9913189739</v>
      </c>
      <c r="F56" s="7" t="n">
        <v>27181</v>
      </c>
      <c r="G56" s="7" t="n">
        <v>27181</v>
      </c>
      <c r="H56" s="5" t="s">
        <v>27</v>
      </c>
      <c r="I56" s="8" t="s">
        <v>28</v>
      </c>
      <c r="K56" s="5" t="s">
        <v>112</v>
      </c>
      <c r="L56" s="5" t="s">
        <v>30</v>
      </c>
      <c r="M56" s="10" t="s">
        <v>127</v>
      </c>
      <c r="N56" s="10" t="s">
        <v>32</v>
      </c>
      <c r="O56" s="10" t="s">
        <v>257</v>
      </c>
      <c r="P56" s="10" t="s">
        <v>34</v>
      </c>
      <c r="Q56" s="10" t="s">
        <v>35</v>
      </c>
      <c r="R56" s="10" t="s">
        <v>36</v>
      </c>
      <c r="S56" s="11" t="s">
        <v>37</v>
      </c>
      <c r="T56" s="11" t="s">
        <v>37</v>
      </c>
      <c r="U56" s="11" t="s">
        <v>37</v>
      </c>
      <c r="V56" s="14" t="s">
        <v>258</v>
      </c>
      <c r="W56" s="10" t="s">
        <v>39</v>
      </c>
      <c r="X56" s="10" t="s">
        <v>39</v>
      </c>
    </row>
    <row r="57" customFormat="false" ht="15" hidden="false" customHeight="false" outlineLevel="0" collapsed="false">
      <c r="A57" s="5" t="s">
        <v>259</v>
      </c>
      <c r="B57" s="5" t="s">
        <v>260</v>
      </c>
      <c r="C57" s="5" t="s">
        <v>26</v>
      </c>
      <c r="D57" s="6" t="str">
        <f aca="false">VLOOKUP(B57,[3]master!$b$6:$V$252,21,0)</f>
        <v>8090992699</v>
      </c>
      <c r="F57" s="7" t="n">
        <v>35527</v>
      </c>
      <c r="G57" s="7" t="n">
        <v>35527</v>
      </c>
      <c r="H57" s="5" t="s">
        <v>27</v>
      </c>
      <c r="I57" s="8" t="s">
        <v>28</v>
      </c>
      <c r="K57" s="5" t="s">
        <v>112</v>
      </c>
      <c r="L57" s="5" t="s">
        <v>30</v>
      </c>
      <c r="M57" s="10" t="s">
        <v>142</v>
      </c>
      <c r="N57" s="10" t="s">
        <v>32</v>
      </c>
      <c r="O57" s="10" t="s">
        <v>132</v>
      </c>
      <c r="P57" s="10" t="s">
        <v>34</v>
      </c>
      <c r="Q57" s="10" t="s">
        <v>35</v>
      </c>
      <c r="R57" s="10" t="s">
        <v>36</v>
      </c>
      <c r="S57" s="11" t="s">
        <v>37</v>
      </c>
      <c r="T57" s="11" t="s">
        <v>37</v>
      </c>
      <c r="U57" s="11" t="s">
        <v>37</v>
      </c>
      <c r="V57" s="10" t="s">
        <v>261</v>
      </c>
      <c r="W57" s="10" t="s">
        <v>39</v>
      </c>
      <c r="X57" s="10" t="s">
        <v>39</v>
      </c>
    </row>
    <row r="58" customFormat="false" ht="15" hidden="false" customHeight="false" outlineLevel="0" collapsed="false">
      <c r="A58" s="5" t="s">
        <v>262</v>
      </c>
      <c r="B58" s="5" t="s">
        <v>263</v>
      </c>
      <c r="C58" s="5" t="s">
        <v>42</v>
      </c>
      <c r="D58" s="6" t="str">
        <f aca="false">VLOOKUP(B58,[3]master!$b$6:$V$252,21,0)</f>
        <v>9924180103</v>
      </c>
      <c r="F58" s="7" t="n">
        <v>37629</v>
      </c>
      <c r="G58" s="7" t="n">
        <v>37629</v>
      </c>
      <c r="H58" s="5" t="s">
        <v>27</v>
      </c>
      <c r="I58" s="8" t="s">
        <v>28</v>
      </c>
      <c r="K58" s="5" t="s">
        <v>112</v>
      </c>
      <c r="L58" s="5" t="s">
        <v>30</v>
      </c>
      <c r="M58" s="10" t="s">
        <v>264</v>
      </c>
      <c r="N58" s="10" t="s">
        <v>32</v>
      </c>
      <c r="O58" s="10" t="s">
        <v>265</v>
      </c>
      <c r="P58" s="10" t="s">
        <v>34</v>
      </c>
      <c r="Q58" s="10" t="s">
        <v>35</v>
      </c>
      <c r="R58" s="10" t="s">
        <v>36</v>
      </c>
      <c r="S58" s="11" t="s">
        <v>37</v>
      </c>
      <c r="T58" s="11" t="s">
        <v>37</v>
      </c>
      <c r="U58" s="11" t="s">
        <v>37</v>
      </c>
      <c r="V58" s="10" t="s">
        <v>266</v>
      </c>
      <c r="W58" s="10" t="s">
        <v>39</v>
      </c>
      <c r="X58" s="10" t="s">
        <v>39</v>
      </c>
    </row>
    <row r="59" customFormat="false" ht="15" hidden="false" customHeight="false" outlineLevel="0" collapsed="false">
      <c r="A59" s="5" t="s">
        <v>267</v>
      </c>
      <c r="B59" s="5" t="s">
        <v>268</v>
      </c>
      <c r="C59" s="5" t="s">
        <v>26</v>
      </c>
      <c r="D59" s="6" t="str">
        <f aca="false">VLOOKUP(B59,[3]master!$b$6:$V$252,21,0)</f>
        <v>9712219359</v>
      </c>
      <c r="F59" s="7" t="n">
        <v>30133</v>
      </c>
      <c r="G59" s="7" t="n">
        <v>30133</v>
      </c>
      <c r="H59" s="5" t="s">
        <v>47</v>
      </c>
      <c r="I59" s="8" t="s">
        <v>28</v>
      </c>
      <c r="K59" s="5" t="s">
        <v>112</v>
      </c>
      <c r="L59" s="5" t="s">
        <v>30</v>
      </c>
      <c r="M59" s="10" t="s">
        <v>113</v>
      </c>
      <c r="N59" s="10" t="s">
        <v>32</v>
      </c>
      <c r="O59" s="10" t="s">
        <v>269</v>
      </c>
      <c r="P59" s="10" t="s">
        <v>34</v>
      </c>
      <c r="Q59" s="10" t="s">
        <v>35</v>
      </c>
      <c r="R59" s="10" t="s">
        <v>36</v>
      </c>
      <c r="S59" s="11" t="s">
        <v>37</v>
      </c>
      <c r="T59" s="11" t="s">
        <v>37</v>
      </c>
      <c r="U59" s="11" t="s">
        <v>37</v>
      </c>
      <c r="V59" s="14" t="s">
        <v>270</v>
      </c>
      <c r="W59" s="10" t="s">
        <v>39</v>
      </c>
      <c r="X59" s="10" t="s">
        <v>39</v>
      </c>
    </row>
    <row r="60" customFormat="false" ht="15" hidden="false" customHeight="false" outlineLevel="0" collapsed="false">
      <c r="A60" s="5" t="s">
        <v>271</v>
      </c>
      <c r="B60" s="5" t="s">
        <v>272</v>
      </c>
      <c r="C60" s="5" t="s">
        <v>26</v>
      </c>
      <c r="D60" s="6" t="str">
        <f aca="false">VLOOKUP(B60,[3]master!$b$6:$V$252,21,0)</f>
        <v>9601253003</v>
      </c>
      <c r="F60" s="7" t="n">
        <v>35090</v>
      </c>
      <c r="G60" s="7" t="n">
        <v>35090</v>
      </c>
      <c r="H60" s="5" t="s">
        <v>54</v>
      </c>
      <c r="I60" s="8" t="s">
        <v>28</v>
      </c>
      <c r="K60" s="5" t="s">
        <v>112</v>
      </c>
      <c r="L60" s="5" t="s">
        <v>30</v>
      </c>
      <c r="M60" s="10" t="s">
        <v>113</v>
      </c>
      <c r="N60" s="10" t="s">
        <v>32</v>
      </c>
      <c r="O60" s="10" t="s">
        <v>114</v>
      </c>
      <c r="P60" s="10" t="s">
        <v>34</v>
      </c>
      <c r="Q60" s="10" t="s">
        <v>35</v>
      </c>
      <c r="R60" s="10" t="s">
        <v>36</v>
      </c>
      <c r="S60" s="11" t="s">
        <v>37</v>
      </c>
      <c r="T60" s="11" t="s">
        <v>37</v>
      </c>
      <c r="U60" s="11" t="s">
        <v>37</v>
      </c>
      <c r="V60" s="10" t="s">
        <v>273</v>
      </c>
      <c r="W60" s="10" t="s">
        <v>39</v>
      </c>
      <c r="X60" s="10" t="s">
        <v>39</v>
      </c>
    </row>
    <row r="61" customFormat="false" ht="15" hidden="false" customHeight="false" outlineLevel="0" collapsed="false">
      <c r="A61" s="5" t="s">
        <v>274</v>
      </c>
      <c r="B61" s="5" t="s">
        <v>275</v>
      </c>
      <c r="C61" s="5" t="s">
        <v>26</v>
      </c>
      <c r="D61" s="6" t="str">
        <f aca="false">VLOOKUP(B61,[3]master!$b$6:$V$252,21,0)</f>
        <v>9712067006</v>
      </c>
      <c r="F61" s="7" t="n">
        <v>32858</v>
      </c>
      <c r="G61" s="7" t="n">
        <v>32858</v>
      </c>
      <c r="H61" s="5" t="s">
        <v>47</v>
      </c>
      <c r="I61" s="8" t="s">
        <v>28</v>
      </c>
      <c r="K61" s="5" t="s">
        <v>112</v>
      </c>
      <c r="L61" s="5" t="s">
        <v>30</v>
      </c>
      <c r="M61" s="10" t="s">
        <v>215</v>
      </c>
      <c r="N61" s="10" t="s">
        <v>32</v>
      </c>
      <c r="O61" s="10" t="s">
        <v>114</v>
      </c>
      <c r="P61" s="10" t="s">
        <v>34</v>
      </c>
      <c r="Q61" s="10" t="s">
        <v>35</v>
      </c>
      <c r="R61" s="10" t="s">
        <v>36</v>
      </c>
      <c r="S61" s="11" t="s">
        <v>37</v>
      </c>
      <c r="T61" s="11" t="s">
        <v>37</v>
      </c>
      <c r="U61" s="11" t="s">
        <v>37</v>
      </c>
      <c r="V61" s="10" t="s">
        <v>276</v>
      </c>
      <c r="W61" s="10" t="s">
        <v>39</v>
      </c>
      <c r="X61" s="10" t="s">
        <v>39</v>
      </c>
    </row>
    <row r="62" customFormat="false" ht="15" hidden="false" customHeight="false" outlineLevel="0" collapsed="false">
      <c r="A62" s="5" t="s">
        <v>277</v>
      </c>
      <c r="B62" s="5" t="s">
        <v>278</v>
      </c>
      <c r="C62" s="5" t="s">
        <v>26</v>
      </c>
      <c r="D62" s="6" t="str">
        <f aca="false">VLOOKUP(B62,[3]master!$b$6:$V$252,21,0)</f>
        <v>7874862618</v>
      </c>
      <c r="F62" s="7" t="n">
        <v>34534</v>
      </c>
      <c r="G62" s="7" t="n">
        <v>34534</v>
      </c>
      <c r="H62" s="5" t="s">
        <v>27</v>
      </c>
      <c r="I62" s="8" t="s">
        <v>28</v>
      </c>
      <c r="K62" s="5" t="s">
        <v>112</v>
      </c>
      <c r="L62" s="5" t="s">
        <v>30</v>
      </c>
      <c r="M62" s="10" t="s">
        <v>113</v>
      </c>
      <c r="N62" s="10" t="s">
        <v>32</v>
      </c>
      <c r="O62" s="10" t="s">
        <v>114</v>
      </c>
      <c r="P62" s="10" t="s">
        <v>34</v>
      </c>
      <c r="Q62" s="10" t="s">
        <v>35</v>
      </c>
      <c r="R62" s="10" t="s">
        <v>36</v>
      </c>
      <c r="S62" s="11" t="s">
        <v>37</v>
      </c>
      <c r="T62" s="11" t="s">
        <v>37</v>
      </c>
      <c r="U62" s="11" t="s">
        <v>37</v>
      </c>
      <c r="V62" s="10" t="s">
        <v>279</v>
      </c>
      <c r="W62" s="10" t="s">
        <v>39</v>
      </c>
      <c r="X62" s="10" t="s">
        <v>39</v>
      </c>
    </row>
    <row r="63" customFormat="false" ht="15" hidden="false" customHeight="false" outlineLevel="0" collapsed="false">
      <c r="A63" s="5" t="s">
        <v>280</v>
      </c>
      <c r="B63" s="5" t="s">
        <v>281</v>
      </c>
      <c r="C63" s="5" t="s">
        <v>26</v>
      </c>
      <c r="D63" s="6" t="str">
        <f aca="false">VLOOKUP(B63,[3]master!$b$6:$V$252,21,0)</f>
        <v>7990168558</v>
      </c>
      <c r="F63" s="7" t="n">
        <v>35895</v>
      </c>
      <c r="G63" s="7" t="n">
        <v>35895</v>
      </c>
      <c r="H63" s="5" t="s">
        <v>47</v>
      </c>
      <c r="I63" s="8" t="s">
        <v>28</v>
      </c>
      <c r="K63" s="5" t="s">
        <v>112</v>
      </c>
      <c r="L63" s="5" t="s">
        <v>30</v>
      </c>
      <c r="M63" s="10" t="s">
        <v>49</v>
      </c>
      <c r="N63" s="10" t="s">
        <v>32</v>
      </c>
      <c r="O63" s="10" t="s">
        <v>282</v>
      </c>
      <c r="P63" s="10" t="s">
        <v>34</v>
      </c>
      <c r="Q63" s="10" t="s">
        <v>35</v>
      </c>
      <c r="R63" s="10" t="s">
        <v>36</v>
      </c>
      <c r="S63" s="11" t="s">
        <v>37</v>
      </c>
      <c r="T63" s="11" t="s">
        <v>37</v>
      </c>
      <c r="U63" s="11" t="s">
        <v>37</v>
      </c>
      <c r="V63" s="10" t="s">
        <v>283</v>
      </c>
      <c r="W63" s="10" t="s">
        <v>39</v>
      </c>
      <c r="X63" s="10" t="s">
        <v>39</v>
      </c>
    </row>
    <row r="64" customFormat="false" ht="15" hidden="false" customHeight="false" outlineLevel="0" collapsed="false">
      <c r="A64" s="5" t="s">
        <v>284</v>
      </c>
      <c r="B64" s="5" t="s">
        <v>285</v>
      </c>
      <c r="C64" s="5" t="s">
        <v>26</v>
      </c>
      <c r="D64" s="6" t="str">
        <f aca="false">VLOOKUP(B64,[3]master!$b$6:$V$252,21,0)</f>
        <v>6351313077</v>
      </c>
      <c r="F64" s="7" t="n">
        <v>33891</v>
      </c>
      <c r="G64" s="7" t="n">
        <v>33891</v>
      </c>
      <c r="H64" s="5" t="s">
        <v>54</v>
      </c>
      <c r="I64" s="8" t="s">
        <v>28</v>
      </c>
      <c r="K64" s="5" t="s">
        <v>112</v>
      </c>
      <c r="L64" s="5" t="s">
        <v>30</v>
      </c>
      <c r="M64" s="10" t="s">
        <v>215</v>
      </c>
      <c r="N64" s="10" t="s">
        <v>32</v>
      </c>
      <c r="O64" s="10" t="s">
        <v>114</v>
      </c>
      <c r="P64" s="10" t="s">
        <v>34</v>
      </c>
      <c r="Q64" s="10" t="s">
        <v>35</v>
      </c>
      <c r="R64" s="10" t="s">
        <v>36</v>
      </c>
      <c r="S64" s="11" t="s">
        <v>37</v>
      </c>
      <c r="T64" s="11" t="s">
        <v>37</v>
      </c>
      <c r="U64" s="11" t="s">
        <v>37</v>
      </c>
      <c r="V64" s="10" t="s">
        <v>286</v>
      </c>
      <c r="W64" s="10" t="s">
        <v>39</v>
      </c>
      <c r="X64" s="10" t="s">
        <v>39</v>
      </c>
    </row>
    <row r="65" customFormat="false" ht="15" hidden="false" customHeight="false" outlineLevel="0" collapsed="false">
      <c r="A65" s="5" t="s">
        <v>287</v>
      </c>
      <c r="B65" s="5" t="s">
        <v>288</v>
      </c>
      <c r="C65" s="5" t="s">
        <v>26</v>
      </c>
      <c r="D65" s="6" t="str">
        <f aca="false">VLOOKUP(B65,[3]master!$b$6:$V$252,21,0)</f>
        <v>9913317300</v>
      </c>
      <c r="F65" s="7" t="n">
        <v>29738</v>
      </c>
      <c r="G65" s="7" t="n">
        <v>29738</v>
      </c>
      <c r="H65" s="5" t="s">
        <v>47</v>
      </c>
      <c r="I65" s="8" t="s">
        <v>28</v>
      </c>
      <c r="K65" s="5" t="s">
        <v>112</v>
      </c>
      <c r="L65" s="5" t="s">
        <v>30</v>
      </c>
      <c r="M65" s="10" t="s">
        <v>215</v>
      </c>
      <c r="N65" s="10" t="s">
        <v>32</v>
      </c>
      <c r="O65" s="10" t="s">
        <v>289</v>
      </c>
      <c r="P65" s="10" t="s">
        <v>34</v>
      </c>
      <c r="Q65" s="10" t="s">
        <v>35</v>
      </c>
      <c r="R65" s="10" t="s">
        <v>36</v>
      </c>
      <c r="S65" s="11" t="s">
        <v>37</v>
      </c>
      <c r="T65" s="11" t="s">
        <v>37</v>
      </c>
      <c r="U65" s="11" t="s">
        <v>37</v>
      </c>
      <c r="V65" s="10" t="s">
        <v>290</v>
      </c>
      <c r="W65" s="10" t="s">
        <v>39</v>
      </c>
      <c r="X65" s="10" t="s">
        <v>39</v>
      </c>
    </row>
    <row r="66" customFormat="false" ht="15" hidden="false" customHeight="false" outlineLevel="0" collapsed="false">
      <c r="A66" s="5" t="s">
        <v>291</v>
      </c>
      <c r="B66" s="5" t="s">
        <v>292</v>
      </c>
      <c r="C66" s="5" t="s">
        <v>26</v>
      </c>
      <c r="D66" s="6" t="str">
        <f aca="false">VLOOKUP(B66,[3]master!$b$6:$V$252,21,0)</f>
        <v>9909245583</v>
      </c>
      <c r="F66" s="7" t="n">
        <v>31085</v>
      </c>
      <c r="G66" s="7" t="n">
        <v>31085</v>
      </c>
      <c r="H66" s="5" t="s">
        <v>54</v>
      </c>
      <c r="I66" s="8" t="s">
        <v>28</v>
      </c>
      <c r="K66" s="5" t="s">
        <v>112</v>
      </c>
      <c r="L66" s="5" t="s">
        <v>30</v>
      </c>
      <c r="M66" s="10" t="s">
        <v>113</v>
      </c>
      <c r="N66" s="10" t="s">
        <v>32</v>
      </c>
      <c r="O66" s="10" t="s">
        <v>119</v>
      </c>
      <c r="P66" s="10" t="s">
        <v>34</v>
      </c>
      <c r="Q66" s="10" t="s">
        <v>35</v>
      </c>
      <c r="R66" s="10" t="s">
        <v>36</v>
      </c>
      <c r="S66" s="11" t="s">
        <v>37</v>
      </c>
      <c r="T66" s="11" t="s">
        <v>37</v>
      </c>
      <c r="U66" s="11" t="s">
        <v>37</v>
      </c>
      <c r="V66" s="10" t="s">
        <v>293</v>
      </c>
      <c r="W66" s="10" t="s">
        <v>39</v>
      </c>
      <c r="X66" s="10" t="s">
        <v>39</v>
      </c>
    </row>
    <row r="67" customFormat="false" ht="15" hidden="false" customHeight="false" outlineLevel="0" collapsed="false">
      <c r="A67" s="5" t="s">
        <v>294</v>
      </c>
      <c r="B67" s="5" t="s">
        <v>295</v>
      </c>
      <c r="C67" s="5" t="s">
        <v>26</v>
      </c>
      <c r="D67" s="6" t="str">
        <f aca="false">VLOOKUP(B67,[3]master!$b$6:$V$252,21,0)</f>
        <v>9879372896</v>
      </c>
      <c r="F67" s="7" t="n">
        <v>28118</v>
      </c>
      <c r="G67" s="7" t="n">
        <v>28118</v>
      </c>
      <c r="H67" s="5" t="s">
        <v>47</v>
      </c>
      <c r="I67" s="8" t="s">
        <v>28</v>
      </c>
      <c r="K67" s="5" t="s">
        <v>112</v>
      </c>
      <c r="L67" s="5" t="s">
        <v>30</v>
      </c>
      <c r="M67" s="10" t="s">
        <v>296</v>
      </c>
      <c r="N67" s="10" t="s">
        <v>32</v>
      </c>
      <c r="O67" s="10" t="s">
        <v>224</v>
      </c>
      <c r="P67" s="10" t="s">
        <v>34</v>
      </c>
      <c r="Q67" s="10" t="s">
        <v>35</v>
      </c>
      <c r="R67" s="10" t="s">
        <v>36</v>
      </c>
      <c r="S67" s="11" t="s">
        <v>37</v>
      </c>
      <c r="T67" s="11" t="s">
        <v>37</v>
      </c>
      <c r="U67" s="11" t="s">
        <v>37</v>
      </c>
      <c r="V67" s="10" t="s">
        <v>297</v>
      </c>
      <c r="W67" s="10" t="s">
        <v>39</v>
      </c>
      <c r="X67" s="10" t="s">
        <v>39</v>
      </c>
    </row>
    <row r="68" customFormat="false" ht="15" hidden="false" customHeight="false" outlineLevel="0" collapsed="false">
      <c r="A68" s="5" t="s">
        <v>298</v>
      </c>
      <c r="B68" s="5" t="s">
        <v>299</v>
      </c>
      <c r="C68" s="5" t="s">
        <v>26</v>
      </c>
      <c r="D68" s="6" t="str">
        <f aca="false">VLOOKUP(B68,[3]master!$b$6:$V$252,21,0)</f>
        <v>9099617402</v>
      </c>
      <c r="F68" s="7" t="n">
        <v>31886</v>
      </c>
      <c r="G68" s="7" t="n">
        <v>31886</v>
      </c>
      <c r="H68" s="5" t="s">
        <v>27</v>
      </c>
      <c r="I68" s="8" t="s">
        <v>28</v>
      </c>
      <c r="K68" s="5" t="s">
        <v>112</v>
      </c>
      <c r="L68" s="5" t="s">
        <v>30</v>
      </c>
      <c r="M68" s="10" t="s">
        <v>142</v>
      </c>
      <c r="N68" s="10" t="s">
        <v>32</v>
      </c>
      <c r="O68" s="10" t="s">
        <v>105</v>
      </c>
      <c r="P68" s="10" t="s">
        <v>34</v>
      </c>
      <c r="Q68" s="10" t="s">
        <v>35</v>
      </c>
      <c r="R68" s="10" t="s">
        <v>36</v>
      </c>
      <c r="S68" s="11" t="s">
        <v>37</v>
      </c>
      <c r="T68" s="11" t="s">
        <v>37</v>
      </c>
      <c r="U68" s="11" t="s">
        <v>37</v>
      </c>
      <c r="V68" s="10" t="s">
        <v>300</v>
      </c>
      <c r="W68" s="10" t="s">
        <v>39</v>
      </c>
      <c r="X68" s="10" t="s">
        <v>39</v>
      </c>
    </row>
    <row r="69" customFormat="false" ht="15" hidden="false" customHeight="false" outlineLevel="0" collapsed="false">
      <c r="A69" s="5" t="s">
        <v>301</v>
      </c>
      <c r="B69" s="5" t="s">
        <v>302</v>
      </c>
      <c r="C69" s="5" t="s">
        <v>26</v>
      </c>
      <c r="D69" s="6" t="str">
        <f aca="false">VLOOKUP(B69,[3]master!$b$6:$V$252,21,0)</f>
        <v>7621094423</v>
      </c>
      <c r="F69" s="7" t="n">
        <v>35116</v>
      </c>
      <c r="G69" s="7" t="n">
        <v>35116</v>
      </c>
      <c r="H69" s="5" t="s">
        <v>27</v>
      </c>
      <c r="I69" s="8" t="s">
        <v>28</v>
      </c>
      <c r="K69" s="5" t="s">
        <v>112</v>
      </c>
      <c r="L69" s="5" t="s">
        <v>30</v>
      </c>
      <c r="M69" s="10" t="s">
        <v>303</v>
      </c>
      <c r="N69" s="10" t="s">
        <v>32</v>
      </c>
      <c r="O69" s="10" t="s">
        <v>50</v>
      </c>
      <c r="P69" s="10" t="s">
        <v>34</v>
      </c>
      <c r="Q69" s="10" t="s">
        <v>35</v>
      </c>
      <c r="R69" s="10" t="s">
        <v>36</v>
      </c>
      <c r="S69" s="11" t="s">
        <v>37</v>
      </c>
      <c r="T69" s="11" t="s">
        <v>37</v>
      </c>
      <c r="U69" s="11" t="s">
        <v>37</v>
      </c>
      <c r="V69" s="10" t="s">
        <v>304</v>
      </c>
      <c r="W69" s="10" t="s">
        <v>39</v>
      </c>
      <c r="X69" s="10" t="s">
        <v>39</v>
      </c>
    </row>
    <row r="70" customFormat="false" ht="15" hidden="false" customHeight="false" outlineLevel="0" collapsed="false">
      <c r="A70" s="5" t="s">
        <v>305</v>
      </c>
      <c r="B70" s="5" t="s">
        <v>306</v>
      </c>
      <c r="C70" s="5" t="s">
        <v>26</v>
      </c>
      <c r="D70" s="6" t="str">
        <f aca="false">VLOOKUP(B70,[3]master!$b$6:$V$252,21,0)</f>
        <v>9824074244</v>
      </c>
      <c r="F70" s="7" t="n">
        <v>32153</v>
      </c>
      <c r="G70" s="7" t="n">
        <v>32153</v>
      </c>
      <c r="H70" s="5" t="s">
        <v>27</v>
      </c>
      <c r="I70" s="8" t="s">
        <v>28</v>
      </c>
      <c r="K70" s="5" t="s">
        <v>112</v>
      </c>
      <c r="L70" s="5" t="s">
        <v>30</v>
      </c>
      <c r="M70" s="10" t="s">
        <v>215</v>
      </c>
      <c r="N70" s="10" t="s">
        <v>32</v>
      </c>
      <c r="O70" s="10" t="s">
        <v>114</v>
      </c>
      <c r="P70" s="10" t="s">
        <v>34</v>
      </c>
      <c r="Q70" s="10" t="s">
        <v>35</v>
      </c>
      <c r="R70" s="10" t="s">
        <v>36</v>
      </c>
      <c r="S70" s="11" t="s">
        <v>37</v>
      </c>
      <c r="T70" s="11" t="s">
        <v>37</v>
      </c>
      <c r="U70" s="11" t="s">
        <v>37</v>
      </c>
      <c r="V70" s="10" t="s">
        <v>307</v>
      </c>
      <c r="W70" s="10" t="s">
        <v>39</v>
      </c>
      <c r="X70" s="10" t="s">
        <v>39</v>
      </c>
    </row>
    <row r="71" customFormat="false" ht="15" hidden="false" customHeight="false" outlineLevel="0" collapsed="false">
      <c r="A71" s="5" t="s">
        <v>308</v>
      </c>
      <c r="B71" s="5" t="s">
        <v>309</v>
      </c>
      <c r="C71" s="5" t="s">
        <v>26</v>
      </c>
      <c r="D71" s="6" t="str">
        <f aca="false">VLOOKUP(B71,[3]master!$b$6:$V$252,21,0)</f>
        <v>8866989229</v>
      </c>
      <c r="F71" s="7" t="n">
        <v>29745</v>
      </c>
      <c r="G71" s="7" t="n">
        <v>29745</v>
      </c>
      <c r="H71" s="5" t="s">
        <v>27</v>
      </c>
      <c r="I71" s="8" t="s">
        <v>28</v>
      </c>
      <c r="K71" s="5" t="s">
        <v>112</v>
      </c>
      <c r="L71" s="5" t="s">
        <v>30</v>
      </c>
      <c r="M71" s="10" t="s">
        <v>203</v>
      </c>
      <c r="N71" s="10" t="s">
        <v>32</v>
      </c>
      <c r="O71" s="10" t="s">
        <v>159</v>
      </c>
      <c r="P71" s="10" t="s">
        <v>34</v>
      </c>
      <c r="Q71" s="10" t="s">
        <v>35</v>
      </c>
      <c r="R71" s="10" t="s">
        <v>36</v>
      </c>
      <c r="S71" s="11" t="s">
        <v>37</v>
      </c>
      <c r="T71" s="11" t="s">
        <v>37</v>
      </c>
      <c r="U71" s="11" t="s">
        <v>37</v>
      </c>
      <c r="V71" s="10" t="s">
        <v>310</v>
      </c>
      <c r="W71" s="10" t="s">
        <v>39</v>
      </c>
      <c r="X71" s="10" t="s">
        <v>39</v>
      </c>
    </row>
    <row r="72" customFormat="false" ht="15" hidden="false" customHeight="false" outlineLevel="0" collapsed="false">
      <c r="A72" s="5" t="s">
        <v>311</v>
      </c>
      <c r="B72" s="5" t="s">
        <v>312</v>
      </c>
      <c r="C72" s="5" t="s">
        <v>26</v>
      </c>
      <c r="D72" s="6" t="str">
        <f aca="false">VLOOKUP(B72,[3]master!$b$6:$V$252,21,0)</f>
        <v>8980670990</v>
      </c>
      <c r="F72" s="7" t="n">
        <v>36197</v>
      </c>
      <c r="G72" s="7" t="n">
        <v>36197</v>
      </c>
      <c r="H72" s="5" t="s">
        <v>27</v>
      </c>
      <c r="I72" s="8" t="s">
        <v>28</v>
      </c>
      <c r="K72" s="5" t="s">
        <v>112</v>
      </c>
      <c r="L72" s="5" t="s">
        <v>30</v>
      </c>
      <c r="M72" s="10" t="s">
        <v>313</v>
      </c>
      <c r="N72" s="10" t="s">
        <v>32</v>
      </c>
      <c r="O72" s="10" t="s">
        <v>211</v>
      </c>
      <c r="P72" s="10" t="s">
        <v>34</v>
      </c>
      <c r="Q72" s="10" t="s">
        <v>35</v>
      </c>
      <c r="R72" s="10" t="s">
        <v>36</v>
      </c>
      <c r="S72" s="11" t="s">
        <v>37</v>
      </c>
      <c r="T72" s="11" t="s">
        <v>37</v>
      </c>
      <c r="U72" s="11" t="s">
        <v>37</v>
      </c>
      <c r="V72" s="10" t="s">
        <v>314</v>
      </c>
      <c r="W72" s="10" t="s">
        <v>39</v>
      </c>
      <c r="X72" s="10" t="s">
        <v>39</v>
      </c>
    </row>
    <row r="73" customFormat="false" ht="15" hidden="false" customHeight="false" outlineLevel="0" collapsed="false">
      <c r="A73" s="5" t="s">
        <v>315</v>
      </c>
      <c r="B73" s="5" t="s">
        <v>316</v>
      </c>
      <c r="C73" s="5" t="s">
        <v>26</v>
      </c>
      <c r="D73" s="6" t="str">
        <f aca="false">VLOOKUP(B73,[3]master!$b$6:$V$252,21,0)</f>
        <v>9825499841</v>
      </c>
      <c r="F73" s="7" t="n">
        <v>27983</v>
      </c>
      <c r="G73" s="7" t="n">
        <v>27983</v>
      </c>
      <c r="H73" s="5" t="s">
        <v>27</v>
      </c>
      <c r="I73" s="8" t="s">
        <v>28</v>
      </c>
      <c r="K73" s="5" t="s">
        <v>112</v>
      </c>
      <c r="L73" s="5" t="s">
        <v>30</v>
      </c>
      <c r="M73" s="10" t="s">
        <v>317</v>
      </c>
      <c r="N73" s="10" t="s">
        <v>32</v>
      </c>
      <c r="O73" s="10" t="s">
        <v>105</v>
      </c>
      <c r="P73" s="10" t="s">
        <v>34</v>
      </c>
      <c r="Q73" s="10" t="s">
        <v>35</v>
      </c>
      <c r="R73" s="10" t="s">
        <v>36</v>
      </c>
      <c r="S73" s="11" t="s">
        <v>37</v>
      </c>
      <c r="T73" s="11" t="s">
        <v>37</v>
      </c>
      <c r="U73" s="11" t="s">
        <v>37</v>
      </c>
      <c r="V73" s="10" t="s">
        <v>318</v>
      </c>
      <c r="W73" s="10" t="s">
        <v>39</v>
      </c>
      <c r="X73" s="10" t="s">
        <v>39</v>
      </c>
    </row>
    <row r="74" customFormat="false" ht="15" hidden="false" customHeight="false" outlineLevel="0" collapsed="false">
      <c r="A74" s="5" t="s">
        <v>319</v>
      </c>
      <c r="B74" s="5" t="s">
        <v>320</v>
      </c>
      <c r="C74" s="5" t="s">
        <v>26</v>
      </c>
      <c r="D74" s="6" t="str">
        <f aca="false">VLOOKUP(B74,[3]master!$b$6:$V$252,21,0)</f>
        <v>9824734112</v>
      </c>
      <c r="F74" s="7" t="n">
        <v>30162</v>
      </c>
      <c r="G74" s="7" t="n">
        <v>30162</v>
      </c>
      <c r="H74" s="5" t="s">
        <v>27</v>
      </c>
      <c r="I74" s="8" t="s">
        <v>28</v>
      </c>
      <c r="K74" s="5" t="s">
        <v>112</v>
      </c>
      <c r="L74" s="5" t="s">
        <v>30</v>
      </c>
      <c r="M74" s="10" t="s">
        <v>313</v>
      </c>
      <c r="N74" s="10" t="s">
        <v>32</v>
      </c>
      <c r="O74" s="10" t="s">
        <v>321</v>
      </c>
      <c r="P74" s="10" t="s">
        <v>34</v>
      </c>
      <c r="Q74" s="10" t="s">
        <v>35</v>
      </c>
      <c r="R74" s="10" t="s">
        <v>36</v>
      </c>
      <c r="S74" s="11" t="s">
        <v>37</v>
      </c>
      <c r="T74" s="11" t="s">
        <v>37</v>
      </c>
      <c r="U74" s="11" t="s">
        <v>37</v>
      </c>
      <c r="V74" s="10" t="s">
        <v>322</v>
      </c>
      <c r="W74" s="10" t="s">
        <v>39</v>
      </c>
      <c r="X74" s="10" t="s">
        <v>39</v>
      </c>
    </row>
    <row r="75" customFormat="false" ht="15" hidden="false" customHeight="false" outlineLevel="0" collapsed="false">
      <c r="A75" s="5" t="s">
        <v>323</v>
      </c>
      <c r="B75" s="5" t="s">
        <v>324</v>
      </c>
      <c r="C75" s="5" t="s">
        <v>26</v>
      </c>
      <c r="D75" s="6" t="str">
        <f aca="false">VLOOKUP(B75,[3]master!$b$6:$V$252,21,0)</f>
        <v>9913589619</v>
      </c>
      <c r="F75" s="7" t="n">
        <v>36574</v>
      </c>
      <c r="G75" s="7" t="n">
        <v>36574</v>
      </c>
      <c r="H75" s="5" t="s">
        <v>47</v>
      </c>
      <c r="I75" s="8" t="s">
        <v>28</v>
      </c>
      <c r="K75" s="5" t="s">
        <v>112</v>
      </c>
      <c r="L75" s="5" t="s">
        <v>30</v>
      </c>
      <c r="M75" s="10" t="s">
        <v>31</v>
      </c>
      <c r="N75" s="10" t="s">
        <v>32</v>
      </c>
      <c r="O75" s="10" t="s">
        <v>151</v>
      </c>
      <c r="P75" s="10" t="s">
        <v>34</v>
      </c>
      <c r="Q75" s="10" t="s">
        <v>35</v>
      </c>
      <c r="R75" s="10" t="s">
        <v>36</v>
      </c>
      <c r="S75" s="11" t="s">
        <v>37</v>
      </c>
      <c r="T75" s="11" t="s">
        <v>37</v>
      </c>
      <c r="U75" s="11" t="s">
        <v>37</v>
      </c>
      <c r="V75" s="10" t="s">
        <v>325</v>
      </c>
      <c r="W75" s="10" t="s">
        <v>39</v>
      </c>
      <c r="X75" s="10" t="s">
        <v>39</v>
      </c>
    </row>
    <row r="76" customFormat="false" ht="15" hidden="false" customHeight="false" outlineLevel="0" collapsed="false">
      <c r="A76" s="5" t="s">
        <v>326</v>
      </c>
      <c r="B76" s="5" t="s">
        <v>327</v>
      </c>
      <c r="C76" s="5" t="s">
        <v>26</v>
      </c>
      <c r="D76" s="6" t="str">
        <f aca="false">VLOOKUP(B76,[3]master!$b$6:$V$252,21,0)</f>
        <v>9028975199</v>
      </c>
      <c r="F76" s="7" t="n">
        <v>31871</v>
      </c>
      <c r="G76" s="7" t="n">
        <v>31871</v>
      </c>
      <c r="H76" s="5" t="s">
        <v>27</v>
      </c>
      <c r="I76" s="8" t="s">
        <v>28</v>
      </c>
      <c r="K76" s="5" t="s">
        <v>112</v>
      </c>
      <c r="L76" s="5" t="s">
        <v>30</v>
      </c>
      <c r="M76" s="10" t="s">
        <v>328</v>
      </c>
      <c r="N76" s="10" t="s">
        <v>32</v>
      </c>
      <c r="O76" s="10" t="s">
        <v>329</v>
      </c>
      <c r="P76" s="10" t="s">
        <v>34</v>
      </c>
      <c r="Q76" s="10" t="s">
        <v>35</v>
      </c>
      <c r="R76" s="10" t="s">
        <v>36</v>
      </c>
      <c r="S76" s="11" t="s">
        <v>37</v>
      </c>
      <c r="T76" s="11" t="s">
        <v>37</v>
      </c>
      <c r="U76" s="11" t="s">
        <v>37</v>
      </c>
      <c r="V76" s="10" t="s">
        <v>330</v>
      </c>
      <c r="W76" s="10" t="s">
        <v>39</v>
      </c>
      <c r="X76" s="10" t="s">
        <v>39</v>
      </c>
    </row>
    <row r="77" customFormat="false" ht="15" hidden="false" customHeight="false" outlineLevel="0" collapsed="false">
      <c r="A77" s="5" t="s">
        <v>331</v>
      </c>
      <c r="B77" s="5" t="s">
        <v>332</v>
      </c>
      <c r="C77" s="5" t="s">
        <v>26</v>
      </c>
      <c r="D77" s="6" t="str">
        <f aca="false">VLOOKUP(B77,[3]master!$b$6:$V$252,21,0)</f>
        <v>9904069442</v>
      </c>
      <c r="F77" s="7" t="n">
        <v>35366</v>
      </c>
      <c r="G77" s="7" t="n">
        <v>35366</v>
      </c>
      <c r="H77" s="5" t="s">
        <v>27</v>
      </c>
      <c r="I77" s="8" t="s">
        <v>28</v>
      </c>
      <c r="K77" s="5" t="s">
        <v>112</v>
      </c>
      <c r="L77" s="5" t="s">
        <v>30</v>
      </c>
      <c r="M77" s="10" t="s">
        <v>215</v>
      </c>
      <c r="N77" s="10" t="s">
        <v>32</v>
      </c>
      <c r="O77" s="10" t="s">
        <v>114</v>
      </c>
      <c r="P77" s="10" t="s">
        <v>34</v>
      </c>
      <c r="Q77" s="10" t="s">
        <v>35</v>
      </c>
      <c r="R77" s="10" t="s">
        <v>36</v>
      </c>
      <c r="S77" s="11" t="s">
        <v>37</v>
      </c>
      <c r="T77" s="11" t="s">
        <v>37</v>
      </c>
      <c r="U77" s="11" t="s">
        <v>37</v>
      </c>
      <c r="V77" s="10" t="s">
        <v>333</v>
      </c>
      <c r="W77" s="10" t="s">
        <v>39</v>
      </c>
      <c r="X77" s="10" t="s">
        <v>39</v>
      </c>
    </row>
    <row r="78" customFormat="false" ht="15" hidden="false" customHeight="false" outlineLevel="0" collapsed="false">
      <c r="A78" s="5" t="s">
        <v>334</v>
      </c>
      <c r="B78" s="5" t="s">
        <v>335</v>
      </c>
      <c r="C78" s="5" t="s">
        <v>26</v>
      </c>
      <c r="D78" s="6" t="n">
        <v>9965852265</v>
      </c>
      <c r="F78" s="7" t="n">
        <v>32413</v>
      </c>
      <c r="G78" s="7" t="n">
        <v>32413</v>
      </c>
      <c r="H78" s="5" t="s">
        <v>47</v>
      </c>
      <c r="I78" s="8" t="s">
        <v>28</v>
      </c>
      <c r="K78" s="5" t="s">
        <v>112</v>
      </c>
      <c r="L78" s="5" t="s">
        <v>30</v>
      </c>
      <c r="M78" s="10" t="s">
        <v>223</v>
      </c>
      <c r="N78" s="10" t="s">
        <v>32</v>
      </c>
      <c r="O78" s="10" t="s">
        <v>175</v>
      </c>
      <c r="P78" s="10" t="s">
        <v>34</v>
      </c>
      <c r="Q78" s="10" t="s">
        <v>35</v>
      </c>
      <c r="R78" s="10" t="s">
        <v>36</v>
      </c>
      <c r="S78" s="11" t="s">
        <v>37</v>
      </c>
      <c r="T78" s="11" t="s">
        <v>37</v>
      </c>
      <c r="U78" s="11" t="s">
        <v>37</v>
      </c>
      <c r="V78" s="10" t="s">
        <v>336</v>
      </c>
      <c r="W78" s="10" t="s">
        <v>39</v>
      </c>
      <c r="X78" s="10" t="s">
        <v>39</v>
      </c>
    </row>
    <row r="79" customFormat="false" ht="15" hidden="false" customHeight="false" outlineLevel="0" collapsed="false">
      <c r="A79" s="5" t="s">
        <v>337</v>
      </c>
      <c r="B79" s="5" t="s">
        <v>338</v>
      </c>
      <c r="C79" s="5" t="s">
        <v>26</v>
      </c>
      <c r="D79" s="6" t="str">
        <f aca="false">VLOOKUP(B79,[3]master!$b$6:$V$252,21,0)</f>
        <v>9913842450</v>
      </c>
      <c r="F79" s="7" t="n">
        <v>30178</v>
      </c>
      <c r="G79" s="7" t="n">
        <v>30178</v>
      </c>
      <c r="H79" s="5" t="s">
        <v>47</v>
      </c>
      <c r="I79" s="8" t="s">
        <v>28</v>
      </c>
      <c r="K79" s="5" t="s">
        <v>112</v>
      </c>
      <c r="L79" s="5" t="s">
        <v>30</v>
      </c>
      <c r="M79" s="10" t="s">
        <v>317</v>
      </c>
      <c r="N79" s="10" t="s">
        <v>32</v>
      </c>
      <c r="O79" s="10" t="s">
        <v>321</v>
      </c>
      <c r="P79" s="10" t="s">
        <v>34</v>
      </c>
      <c r="Q79" s="10" t="s">
        <v>35</v>
      </c>
      <c r="R79" s="10" t="s">
        <v>36</v>
      </c>
      <c r="S79" s="11" t="s">
        <v>37</v>
      </c>
      <c r="T79" s="11" t="s">
        <v>37</v>
      </c>
      <c r="U79" s="11" t="s">
        <v>37</v>
      </c>
      <c r="V79" s="10" t="s">
        <v>339</v>
      </c>
      <c r="W79" s="10" t="s">
        <v>39</v>
      </c>
      <c r="X79" s="10" t="s">
        <v>39</v>
      </c>
    </row>
    <row r="80" customFormat="false" ht="13.8" hidden="false" customHeight="false" outlineLevel="0" collapsed="false">
      <c r="A80" s="5" t="s">
        <v>340</v>
      </c>
      <c r="B80" s="5" t="s">
        <v>341</v>
      </c>
      <c r="C80" s="5" t="s">
        <v>26</v>
      </c>
      <c r="D80" s="6" t="str">
        <f aca="false">VLOOKUP(B80,[3]master!$b$6:$V$252,21,0)</f>
        <v>9974185472</v>
      </c>
      <c r="F80" s="7" t="n">
        <v>32445</v>
      </c>
      <c r="G80" s="7" t="n">
        <v>32445</v>
      </c>
      <c r="H80" s="5" t="s">
        <v>27</v>
      </c>
      <c r="I80" s="8" t="s">
        <v>28</v>
      </c>
      <c r="K80" s="5" t="s">
        <v>112</v>
      </c>
      <c r="L80" s="5" t="s">
        <v>30</v>
      </c>
      <c r="M80" s="10" t="s">
        <v>146</v>
      </c>
      <c r="N80" s="10" t="s">
        <v>32</v>
      </c>
      <c r="O80" s="15" t="s">
        <v>207</v>
      </c>
      <c r="P80" s="10" t="s">
        <v>34</v>
      </c>
      <c r="Q80" s="10" t="s">
        <v>35</v>
      </c>
      <c r="R80" s="10" t="s">
        <v>36</v>
      </c>
      <c r="S80" s="11" t="s">
        <v>37</v>
      </c>
      <c r="T80" s="11" t="s">
        <v>37</v>
      </c>
      <c r="U80" s="11" t="s">
        <v>37</v>
      </c>
      <c r="V80" s="10" t="s">
        <v>342</v>
      </c>
      <c r="W80" s="10" t="s">
        <v>39</v>
      </c>
      <c r="X80" s="10" t="s">
        <v>39</v>
      </c>
    </row>
    <row r="81" customFormat="false" ht="15" hidden="false" customHeight="false" outlineLevel="0" collapsed="false">
      <c r="A81" s="5" t="s">
        <v>343</v>
      </c>
      <c r="B81" s="5" t="s">
        <v>344</v>
      </c>
      <c r="C81" s="5" t="s">
        <v>26</v>
      </c>
      <c r="D81" s="6" t="n">
        <v>4456998865</v>
      </c>
      <c r="F81" s="7" t="n">
        <v>31380</v>
      </c>
      <c r="G81" s="7" t="n">
        <v>31380</v>
      </c>
      <c r="H81" s="5" t="s">
        <v>27</v>
      </c>
      <c r="I81" s="8" t="s">
        <v>28</v>
      </c>
      <c r="K81" s="5" t="s">
        <v>112</v>
      </c>
      <c r="L81" s="5" t="s">
        <v>30</v>
      </c>
      <c r="M81" s="10" t="s">
        <v>137</v>
      </c>
      <c r="N81" s="10" t="s">
        <v>32</v>
      </c>
      <c r="O81" s="10" t="s">
        <v>159</v>
      </c>
      <c r="P81" s="10" t="s">
        <v>34</v>
      </c>
      <c r="Q81" s="10" t="s">
        <v>35</v>
      </c>
      <c r="R81" s="10" t="s">
        <v>36</v>
      </c>
      <c r="S81" s="11" t="s">
        <v>37</v>
      </c>
      <c r="T81" s="11" t="s">
        <v>37</v>
      </c>
      <c r="U81" s="11" t="s">
        <v>37</v>
      </c>
      <c r="V81" s="10" t="s">
        <v>345</v>
      </c>
      <c r="W81" s="10" t="s">
        <v>39</v>
      </c>
      <c r="X81" s="10" t="s">
        <v>39</v>
      </c>
    </row>
    <row r="82" customFormat="false" ht="15" hidden="false" customHeight="false" outlineLevel="0" collapsed="false">
      <c r="A82" s="5" t="s">
        <v>346</v>
      </c>
      <c r="B82" s="5" t="s">
        <v>347</v>
      </c>
      <c r="C82" s="5" t="s">
        <v>26</v>
      </c>
      <c r="D82" s="6" t="str">
        <f aca="false">VLOOKUP(B82,[3]master!$b$6:$V$252,21,0)</f>
        <v>9925723669</v>
      </c>
      <c r="F82" s="7" t="n">
        <v>36568</v>
      </c>
      <c r="G82" s="7" t="n">
        <v>36568</v>
      </c>
      <c r="H82" s="5" t="s">
        <v>27</v>
      </c>
      <c r="I82" s="8" t="s">
        <v>28</v>
      </c>
      <c r="K82" s="5" t="s">
        <v>112</v>
      </c>
      <c r="L82" s="5" t="s">
        <v>30</v>
      </c>
      <c r="M82" s="10" t="s">
        <v>127</v>
      </c>
      <c r="N82" s="10" t="s">
        <v>32</v>
      </c>
      <c r="O82" s="10" t="s">
        <v>257</v>
      </c>
      <c r="P82" s="10" t="s">
        <v>34</v>
      </c>
      <c r="Q82" s="10" t="s">
        <v>35</v>
      </c>
      <c r="R82" s="10" t="s">
        <v>36</v>
      </c>
      <c r="S82" s="11" t="s">
        <v>37</v>
      </c>
      <c r="T82" s="11" t="s">
        <v>37</v>
      </c>
      <c r="U82" s="11" t="s">
        <v>37</v>
      </c>
      <c r="V82" s="10" t="s">
        <v>348</v>
      </c>
      <c r="W82" s="10" t="s">
        <v>39</v>
      </c>
      <c r="X82" s="10" t="s">
        <v>39</v>
      </c>
    </row>
    <row r="83" customFormat="false" ht="15" hidden="false" customHeight="false" outlineLevel="0" collapsed="false">
      <c r="A83" s="5" t="s">
        <v>349</v>
      </c>
      <c r="B83" s="5" t="s">
        <v>350</v>
      </c>
      <c r="C83" s="5" t="s">
        <v>42</v>
      </c>
      <c r="D83" s="6" t="str">
        <f aca="false">VLOOKUP(B83,[3]master!$b$6:$V$252,21,0)</f>
        <v>9028975199</v>
      </c>
      <c r="F83" s="7" t="n">
        <v>33624</v>
      </c>
      <c r="G83" s="7" t="n">
        <v>33624</v>
      </c>
      <c r="H83" s="5" t="s">
        <v>27</v>
      </c>
      <c r="I83" s="8" t="s">
        <v>28</v>
      </c>
      <c r="K83" s="5" t="s">
        <v>112</v>
      </c>
      <c r="L83" s="5" t="s">
        <v>30</v>
      </c>
      <c r="M83" s="10" t="s">
        <v>296</v>
      </c>
      <c r="N83" s="10" t="s">
        <v>32</v>
      </c>
      <c r="O83" s="10" t="s">
        <v>351</v>
      </c>
      <c r="P83" s="10" t="s">
        <v>34</v>
      </c>
      <c r="Q83" s="10" t="s">
        <v>35</v>
      </c>
      <c r="R83" s="10" t="s">
        <v>36</v>
      </c>
      <c r="S83" s="11" t="s">
        <v>37</v>
      </c>
      <c r="T83" s="11" t="s">
        <v>37</v>
      </c>
      <c r="U83" s="11" t="s">
        <v>37</v>
      </c>
      <c r="V83" s="10" t="s">
        <v>352</v>
      </c>
      <c r="W83" s="10" t="s">
        <v>39</v>
      </c>
      <c r="X83" s="10" t="s">
        <v>39</v>
      </c>
    </row>
    <row r="84" customFormat="false" ht="15" hidden="false" customHeight="false" outlineLevel="0" collapsed="false">
      <c r="A84" s="5" t="s">
        <v>353</v>
      </c>
      <c r="B84" s="5" t="s">
        <v>354</v>
      </c>
      <c r="C84" s="5" t="s">
        <v>42</v>
      </c>
      <c r="D84" s="6" t="str">
        <f aca="false">VLOOKUP(B84,[3]master!$b$6:$V$252,21,0)</f>
        <v>9737035302</v>
      </c>
      <c r="F84" s="7" t="n">
        <v>36627</v>
      </c>
      <c r="G84" s="7" t="n">
        <v>36627</v>
      </c>
      <c r="H84" s="5" t="s">
        <v>27</v>
      </c>
      <c r="I84" s="8" t="s">
        <v>28</v>
      </c>
      <c r="K84" s="5" t="s">
        <v>112</v>
      </c>
      <c r="L84" s="5" t="s">
        <v>30</v>
      </c>
      <c r="M84" s="10" t="s">
        <v>355</v>
      </c>
      <c r="N84" s="10" t="s">
        <v>32</v>
      </c>
      <c r="O84" s="10" t="s">
        <v>356</v>
      </c>
      <c r="P84" s="10" t="s">
        <v>34</v>
      </c>
      <c r="Q84" s="10" t="s">
        <v>35</v>
      </c>
      <c r="R84" s="10" t="s">
        <v>36</v>
      </c>
      <c r="S84" s="11" t="s">
        <v>37</v>
      </c>
      <c r="T84" s="11" t="s">
        <v>37</v>
      </c>
      <c r="U84" s="11" t="s">
        <v>37</v>
      </c>
      <c r="V84" s="10" t="s">
        <v>357</v>
      </c>
      <c r="W84" s="10" t="s">
        <v>39</v>
      </c>
      <c r="X84" s="10" t="s">
        <v>39</v>
      </c>
    </row>
    <row r="85" customFormat="false" ht="15" hidden="false" customHeight="false" outlineLevel="0" collapsed="false">
      <c r="A85" s="5" t="s">
        <v>358</v>
      </c>
      <c r="B85" s="5" t="s">
        <v>359</v>
      </c>
      <c r="C85" s="5" t="s">
        <v>26</v>
      </c>
      <c r="D85" s="6" t="str">
        <f aca="false">VLOOKUP(B85,[3]master!$b$6:$V$252,21,0)</f>
        <v>9909091691</v>
      </c>
      <c r="F85" s="7" t="n">
        <v>27593</v>
      </c>
      <c r="G85" s="7" t="n">
        <v>27593</v>
      </c>
      <c r="H85" s="5" t="s">
        <v>27</v>
      </c>
      <c r="I85" s="8" t="s">
        <v>28</v>
      </c>
      <c r="K85" s="5" t="s">
        <v>112</v>
      </c>
      <c r="L85" s="5" t="s">
        <v>30</v>
      </c>
      <c r="M85" s="10" t="s">
        <v>313</v>
      </c>
      <c r="N85" s="10" t="s">
        <v>32</v>
      </c>
      <c r="O85" s="10" t="s">
        <v>321</v>
      </c>
      <c r="P85" s="10" t="s">
        <v>34</v>
      </c>
      <c r="Q85" s="10" t="s">
        <v>35</v>
      </c>
      <c r="R85" s="10" t="s">
        <v>36</v>
      </c>
      <c r="S85" s="11" t="s">
        <v>37</v>
      </c>
      <c r="T85" s="11" t="s">
        <v>37</v>
      </c>
      <c r="U85" s="11" t="s">
        <v>37</v>
      </c>
      <c r="V85" s="10" t="s">
        <v>360</v>
      </c>
      <c r="W85" s="10" t="s">
        <v>39</v>
      </c>
      <c r="X85" s="10" t="s">
        <v>39</v>
      </c>
    </row>
    <row r="86" customFormat="false" ht="15" hidden="false" customHeight="false" outlineLevel="0" collapsed="false">
      <c r="A86" s="5" t="s">
        <v>361</v>
      </c>
      <c r="B86" s="5" t="s">
        <v>362</v>
      </c>
      <c r="C86" s="5" t="s">
        <v>26</v>
      </c>
      <c r="D86" s="6" t="str">
        <f aca="false">VLOOKUP(B86,[3]master!$b$6:$V$252,21,0)</f>
        <v>9537289988</v>
      </c>
      <c r="F86" s="7" t="n">
        <v>33777</v>
      </c>
      <c r="G86" s="7" t="n">
        <v>33777</v>
      </c>
      <c r="H86" s="5" t="s">
        <v>27</v>
      </c>
      <c r="I86" s="8" t="s">
        <v>28</v>
      </c>
      <c r="K86" s="5" t="s">
        <v>112</v>
      </c>
      <c r="L86" s="5" t="s">
        <v>30</v>
      </c>
      <c r="M86" s="10" t="s">
        <v>363</v>
      </c>
      <c r="N86" s="10" t="s">
        <v>32</v>
      </c>
      <c r="O86" s="10" t="s">
        <v>364</v>
      </c>
      <c r="P86" s="10" t="s">
        <v>34</v>
      </c>
      <c r="Q86" s="10" t="s">
        <v>35</v>
      </c>
      <c r="R86" s="10" t="s">
        <v>36</v>
      </c>
      <c r="S86" s="11" t="s">
        <v>37</v>
      </c>
      <c r="T86" s="11" t="s">
        <v>37</v>
      </c>
      <c r="U86" s="11" t="s">
        <v>37</v>
      </c>
      <c r="V86" s="10" t="s">
        <v>365</v>
      </c>
      <c r="W86" s="10" t="s">
        <v>39</v>
      </c>
      <c r="X86" s="10" t="s">
        <v>39</v>
      </c>
    </row>
    <row r="87" customFormat="false" ht="15" hidden="false" customHeight="false" outlineLevel="0" collapsed="false">
      <c r="A87" s="5" t="s">
        <v>366</v>
      </c>
      <c r="B87" s="5" t="s">
        <v>367</v>
      </c>
      <c r="C87" s="5" t="s">
        <v>26</v>
      </c>
      <c r="D87" s="6" t="str">
        <f aca="false">VLOOKUP(B87,[3]master!$b$6:$V$252,21,0)</f>
        <v>9723298744</v>
      </c>
      <c r="F87" s="7" t="n">
        <v>32387</v>
      </c>
      <c r="G87" s="7" t="n">
        <v>32387</v>
      </c>
      <c r="H87" s="5" t="s">
        <v>27</v>
      </c>
      <c r="I87" s="8" t="s">
        <v>28</v>
      </c>
      <c r="K87" s="5" t="s">
        <v>112</v>
      </c>
      <c r="L87" s="5" t="s">
        <v>30</v>
      </c>
      <c r="M87" s="10" t="s">
        <v>215</v>
      </c>
      <c r="N87" s="10" t="s">
        <v>32</v>
      </c>
      <c r="O87" s="10" t="s">
        <v>114</v>
      </c>
      <c r="P87" s="10" t="s">
        <v>34</v>
      </c>
      <c r="Q87" s="10" t="s">
        <v>35</v>
      </c>
      <c r="R87" s="10" t="s">
        <v>36</v>
      </c>
      <c r="S87" s="11" t="s">
        <v>37</v>
      </c>
      <c r="T87" s="11" t="s">
        <v>37</v>
      </c>
      <c r="U87" s="11" t="s">
        <v>37</v>
      </c>
      <c r="V87" s="10" t="s">
        <v>368</v>
      </c>
      <c r="W87" s="10" t="s">
        <v>39</v>
      </c>
      <c r="X87" s="10" t="s">
        <v>39</v>
      </c>
    </row>
    <row r="88" customFormat="false" ht="15" hidden="false" customHeight="false" outlineLevel="0" collapsed="false">
      <c r="A88" s="5" t="s">
        <v>369</v>
      </c>
      <c r="B88" s="5" t="s">
        <v>370</v>
      </c>
      <c r="C88" s="5" t="s">
        <v>26</v>
      </c>
      <c r="D88" s="6" t="str">
        <f aca="false">VLOOKUP(B88,[3]master!$b$6:$V$252,21,0)</f>
        <v>9974074575</v>
      </c>
      <c r="F88" s="7" t="n">
        <v>28724</v>
      </c>
      <c r="G88" s="7" t="n">
        <v>28724</v>
      </c>
      <c r="H88" s="5" t="s">
        <v>27</v>
      </c>
      <c r="I88" s="8" t="s">
        <v>28</v>
      </c>
      <c r="K88" s="5" t="s">
        <v>112</v>
      </c>
      <c r="L88" s="5" t="s">
        <v>30</v>
      </c>
      <c r="M88" s="10" t="s">
        <v>113</v>
      </c>
      <c r="N88" s="10" t="s">
        <v>32</v>
      </c>
      <c r="O88" s="10" t="s">
        <v>105</v>
      </c>
      <c r="P88" s="10" t="s">
        <v>34</v>
      </c>
      <c r="Q88" s="10" t="s">
        <v>35</v>
      </c>
      <c r="R88" s="10" t="s">
        <v>36</v>
      </c>
      <c r="S88" s="11" t="s">
        <v>37</v>
      </c>
      <c r="T88" s="11" t="s">
        <v>37</v>
      </c>
      <c r="U88" s="11" t="s">
        <v>37</v>
      </c>
      <c r="V88" s="10" t="s">
        <v>371</v>
      </c>
      <c r="W88" s="10" t="s">
        <v>39</v>
      </c>
      <c r="X88" s="10" t="s">
        <v>39</v>
      </c>
    </row>
    <row r="89" customFormat="false" ht="15" hidden="false" customHeight="false" outlineLevel="0" collapsed="false">
      <c r="A89" s="5" t="s">
        <v>372</v>
      </c>
      <c r="B89" s="5" t="s">
        <v>373</v>
      </c>
      <c r="C89" s="5" t="s">
        <v>26</v>
      </c>
      <c r="D89" s="6" t="str">
        <f aca="false">VLOOKUP(B89,[3]master!$b$6:$V$252,21,0)</f>
        <v>9909613705</v>
      </c>
      <c r="F89" s="7" t="n">
        <v>23895</v>
      </c>
      <c r="G89" s="7" t="n">
        <v>23895</v>
      </c>
      <c r="H89" s="5" t="s">
        <v>47</v>
      </c>
      <c r="I89" s="8" t="s">
        <v>28</v>
      </c>
      <c r="K89" s="5" t="s">
        <v>112</v>
      </c>
      <c r="L89" s="5" t="s">
        <v>30</v>
      </c>
      <c r="M89" s="10" t="s">
        <v>317</v>
      </c>
      <c r="N89" s="10" t="s">
        <v>32</v>
      </c>
      <c r="O89" s="10" t="s">
        <v>321</v>
      </c>
      <c r="P89" s="10" t="s">
        <v>34</v>
      </c>
      <c r="Q89" s="10" t="s">
        <v>35</v>
      </c>
      <c r="R89" s="10" t="s">
        <v>36</v>
      </c>
      <c r="S89" s="11" t="s">
        <v>37</v>
      </c>
      <c r="T89" s="11" t="s">
        <v>37</v>
      </c>
      <c r="U89" s="11" t="s">
        <v>37</v>
      </c>
      <c r="V89" s="10" t="s">
        <v>374</v>
      </c>
      <c r="W89" s="10" t="s">
        <v>39</v>
      </c>
      <c r="X89" s="10" t="s">
        <v>39</v>
      </c>
    </row>
    <row r="90" customFormat="false" ht="15" hidden="false" customHeight="false" outlineLevel="0" collapsed="false">
      <c r="A90" s="5" t="s">
        <v>375</v>
      </c>
      <c r="B90" s="5" t="s">
        <v>376</v>
      </c>
      <c r="C90" s="5" t="s">
        <v>26</v>
      </c>
      <c r="D90" s="6" t="str">
        <f aca="false">VLOOKUP(B90,[3]master!$b$6:$V$252,21,0)</f>
        <v>9979048598</v>
      </c>
      <c r="F90" s="7" t="n">
        <v>37775</v>
      </c>
      <c r="G90" s="7" t="n">
        <v>37775</v>
      </c>
      <c r="H90" s="5" t="s">
        <v>47</v>
      </c>
      <c r="I90" s="8" t="s">
        <v>28</v>
      </c>
      <c r="K90" s="5" t="s">
        <v>112</v>
      </c>
      <c r="L90" s="5" t="s">
        <v>30</v>
      </c>
      <c r="M90" s="10" t="s">
        <v>49</v>
      </c>
      <c r="N90" s="10" t="s">
        <v>32</v>
      </c>
      <c r="O90" s="10" t="s">
        <v>377</v>
      </c>
      <c r="P90" s="10" t="s">
        <v>34</v>
      </c>
      <c r="Q90" s="10" t="s">
        <v>35</v>
      </c>
      <c r="R90" s="10" t="s">
        <v>36</v>
      </c>
      <c r="S90" s="11" t="s">
        <v>37</v>
      </c>
      <c r="T90" s="11" t="s">
        <v>37</v>
      </c>
      <c r="U90" s="11" t="s">
        <v>37</v>
      </c>
      <c r="V90" s="10" t="s">
        <v>378</v>
      </c>
      <c r="W90" s="10" t="s">
        <v>39</v>
      </c>
      <c r="X90" s="10" t="s">
        <v>39</v>
      </c>
    </row>
    <row r="91" customFormat="false" ht="15" hidden="false" customHeight="false" outlineLevel="0" collapsed="false">
      <c r="A91" s="5" t="s">
        <v>379</v>
      </c>
      <c r="B91" s="5" t="s">
        <v>380</v>
      </c>
      <c r="C91" s="5" t="s">
        <v>26</v>
      </c>
      <c r="D91" s="6" t="str">
        <f aca="false">VLOOKUP(B91,[3]master!$b$6:$V$252,21,0)</f>
        <v>9924003403</v>
      </c>
      <c r="F91" s="7" t="n">
        <v>36760</v>
      </c>
      <c r="G91" s="7" t="n">
        <v>36760</v>
      </c>
      <c r="H91" s="5" t="s">
        <v>136</v>
      </c>
      <c r="I91" s="8" t="s">
        <v>28</v>
      </c>
      <c r="K91" s="5" t="s">
        <v>112</v>
      </c>
      <c r="L91" s="5" t="s">
        <v>30</v>
      </c>
      <c r="M91" s="10" t="s">
        <v>49</v>
      </c>
      <c r="N91" s="10" t="s">
        <v>32</v>
      </c>
      <c r="O91" s="10" t="s">
        <v>377</v>
      </c>
      <c r="P91" s="10" t="s">
        <v>34</v>
      </c>
      <c r="Q91" s="10" t="s">
        <v>35</v>
      </c>
      <c r="R91" s="10" t="s">
        <v>36</v>
      </c>
      <c r="S91" s="11" t="s">
        <v>37</v>
      </c>
      <c r="T91" s="11" t="s">
        <v>37</v>
      </c>
      <c r="U91" s="11" t="s">
        <v>37</v>
      </c>
      <c r="V91" s="10" t="s">
        <v>381</v>
      </c>
      <c r="W91" s="10" t="s">
        <v>39</v>
      </c>
      <c r="X91" s="10" t="s">
        <v>39</v>
      </c>
    </row>
    <row r="92" customFormat="false" ht="15" hidden="false" customHeight="false" outlineLevel="0" collapsed="false">
      <c r="A92" s="5" t="s">
        <v>382</v>
      </c>
      <c r="B92" s="5" t="s">
        <v>383</v>
      </c>
      <c r="C92" s="5" t="s">
        <v>26</v>
      </c>
      <c r="D92" s="6" t="str">
        <f aca="false">VLOOKUP(B92,[3]master!$b$6:$V$252,21,0)</f>
        <v>7096569663</v>
      </c>
      <c r="F92" s="7" t="n">
        <v>36066</v>
      </c>
      <c r="G92" s="7" t="n">
        <v>36066</v>
      </c>
      <c r="H92" s="5" t="s">
        <v>47</v>
      </c>
      <c r="I92" s="8" t="s">
        <v>28</v>
      </c>
      <c r="K92" s="5" t="s">
        <v>112</v>
      </c>
      <c r="L92" s="5" t="s">
        <v>30</v>
      </c>
      <c r="M92" s="10" t="s">
        <v>303</v>
      </c>
      <c r="N92" s="10" t="s">
        <v>32</v>
      </c>
      <c r="O92" s="10" t="s">
        <v>377</v>
      </c>
      <c r="P92" s="10" t="s">
        <v>34</v>
      </c>
      <c r="Q92" s="10" t="s">
        <v>35</v>
      </c>
      <c r="R92" s="10" t="s">
        <v>36</v>
      </c>
      <c r="S92" s="11" t="s">
        <v>37</v>
      </c>
      <c r="T92" s="11" t="s">
        <v>37</v>
      </c>
      <c r="U92" s="11" t="s">
        <v>37</v>
      </c>
      <c r="V92" s="10" t="s">
        <v>384</v>
      </c>
      <c r="W92" s="10" t="s">
        <v>39</v>
      </c>
      <c r="X92" s="10" t="s">
        <v>39</v>
      </c>
    </row>
    <row r="93" customFormat="false" ht="15" hidden="false" customHeight="false" outlineLevel="0" collapsed="false">
      <c r="A93" s="5" t="s">
        <v>385</v>
      </c>
      <c r="B93" s="5" t="s">
        <v>386</v>
      </c>
      <c r="C93" s="5" t="s">
        <v>26</v>
      </c>
      <c r="D93" s="6" t="str">
        <f aca="false">VLOOKUP(B93,[3]master!$b$6:$V$252,21,0)</f>
        <v>9427397078</v>
      </c>
      <c r="F93" s="7" t="n">
        <v>23498</v>
      </c>
      <c r="G93" s="7" t="n">
        <v>23498</v>
      </c>
      <c r="H93" s="5" t="s">
        <v>47</v>
      </c>
      <c r="I93" s="8" t="s">
        <v>28</v>
      </c>
      <c r="K93" s="5" t="s">
        <v>112</v>
      </c>
      <c r="L93" s="5" t="s">
        <v>30</v>
      </c>
      <c r="M93" s="10" t="s">
        <v>317</v>
      </c>
      <c r="N93" s="10" t="s">
        <v>32</v>
      </c>
      <c r="O93" s="10" t="s">
        <v>166</v>
      </c>
      <c r="P93" s="10" t="s">
        <v>34</v>
      </c>
      <c r="Q93" s="10" t="s">
        <v>35</v>
      </c>
      <c r="R93" s="10" t="s">
        <v>36</v>
      </c>
      <c r="S93" s="11" t="s">
        <v>37</v>
      </c>
      <c r="T93" s="11" t="s">
        <v>37</v>
      </c>
      <c r="U93" s="11" t="s">
        <v>37</v>
      </c>
      <c r="V93" s="10" t="s">
        <v>387</v>
      </c>
      <c r="W93" s="10" t="s">
        <v>39</v>
      </c>
      <c r="X93" s="10" t="s">
        <v>39</v>
      </c>
    </row>
    <row r="94" customFormat="false" ht="15" hidden="false" customHeight="false" outlineLevel="0" collapsed="false">
      <c r="A94" s="5" t="s">
        <v>388</v>
      </c>
      <c r="B94" s="5" t="s">
        <v>389</v>
      </c>
      <c r="C94" s="5" t="s">
        <v>26</v>
      </c>
      <c r="D94" s="6" t="str">
        <f aca="false">VLOOKUP(B94,[3]master!$b$6:$V$252,21,0)</f>
        <v>8465998886</v>
      </c>
      <c r="F94" s="7" t="n">
        <v>26582</v>
      </c>
      <c r="G94" s="7" t="n">
        <v>26582</v>
      </c>
      <c r="H94" s="5" t="s">
        <v>27</v>
      </c>
      <c r="I94" s="8" t="s">
        <v>28</v>
      </c>
      <c r="K94" s="5" t="s">
        <v>112</v>
      </c>
      <c r="L94" s="5" t="s">
        <v>30</v>
      </c>
      <c r="M94" s="10" t="s">
        <v>317</v>
      </c>
      <c r="N94" s="10" t="s">
        <v>32</v>
      </c>
      <c r="O94" s="10" t="s">
        <v>321</v>
      </c>
      <c r="P94" s="10" t="s">
        <v>34</v>
      </c>
      <c r="Q94" s="10" t="s">
        <v>35</v>
      </c>
      <c r="R94" s="10" t="s">
        <v>36</v>
      </c>
      <c r="S94" s="11" t="s">
        <v>37</v>
      </c>
      <c r="T94" s="11" t="s">
        <v>37</v>
      </c>
      <c r="U94" s="11" t="s">
        <v>37</v>
      </c>
      <c r="V94" s="10" t="s">
        <v>390</v>
      </c>
      <c r="W94" s="10" t="s">
        <v>39</v>
      </c>
      <c r="X94" s="10" t="s">
        <v>39</v>
      </c>
    </row>
    <row r="95" customFormat="false" ht="15" hidden="false" customHeight="false" outlineLevel="0" collapsed="false">
      <c r="A95" s="5" t="s">
        <v>391</v>
      </c>
      <c r="B95" s="5" t="s">
        <v>392</v>
      </c>
      <c r="C95" s="5" t="s">
        <v>26</v>
      </c>
      <c r="D95" s="6" t="str">
        <f aca="false">VLOOKUP(B95,[3]master!$b$6:$V$252,21,0)</f>
        <v>8849281308</v>
      </c>
      <c r="F95" s="7" t="n">
        <v>32650</v>
      </c>
      <c r="G95" s="7" t="n">
        <v>32650</v>
      </c>
      <c r="H95" s="5" t="s">
        <v>136</v>
      </c>
      <c r="I95" s="8" t="s">
        <v>28</v>
      </c>
      <c r="K95" s="5" t="s">
        <v>112</v>
      </c>
      <c r="L95" s="5" t="s">
        <v>30</v>
      </c>
      <c r="M95" s="10" t="s">
        <v>303</v>
      </c>
      <c r="N95" s="10" t="s">
        <v>32</v>
      </c>
      <c r="O95" s="10" t="s">
        <v>393</v>
      </c>
      <c r="P95" s="10" t="s">
        <v>34</v>
      </c>
      <c r="Q95" s="10" t="s">
        <v>35</v>
      </c>
      <c r="R95" s="10" t="s">
        <v>36</v>
      </c>
      <c r="S95" s="11" t="s">
        <v>37</v>
      </c>
      <c r="T95" s="11" t="s">
        <v>37</v>
      </c>
      <c r="U95" s="11" t="s">
        <v>37</v>
      </c>
      <c r="V95" s="10" t="s">
        <v>394</v>
      </c>
      <c r="W95" s="10" t="s">
        <v>39</v>
      </c>
      <c r="X95" s="10" t="s">
        <v>39</v>
      </c>
    </row>
    <row r="96" customFormat="false" ht="15" hidden="false" customHeight="false" outlineLevel="0" collapsed="false">
      <c r="A96" s="5" t="s">
        <v>395</v>
      </c>
      <c r="B96" s="5" t="s">
        <v>396</v>
      </c>
      <c r="C96" s="5" t="s">
        <v>26</v>
      </c>
      <c r="D96" s="6" t="str">
        <f aca="false">VLOOKUP(B96,[3]master!$b$6:$V$252,21,0)</f>
        <v>9924556201</v>
      </c>
      <c r="F96" s="7" t="n">
        <v>31999</v>
      </c>
      <c r="G96" s="7" t="n">
        <v>31999</v>
      </c>
      <c r="H96" s="5" t="s">
        <v>27</v>
      </c>
      <c r="I96" s="8" t="s">
        <v>28</v>
      </c>
      <c r="K96" s="5" t="s">
        <v>112</v>
      </c>
      <c r="L96" s="5" t="s">
        <v>30</v>
      </c>
      <c r="M96" s="10" t="s">
        <v>313</v>
      </c>
      <c r="N96" s="10" t="s">
        <v>32</v>
      </c>
      <c r="O96" s="10" t="s">
        <v>397</v>
      </c>
      <c r="P96" s="10" t="s">
        <v>34</v>
      </c>
      <c r="Q96" s="10" t="s">
        <v>35</v>
      </c>
      <c r="R96" s="10" t="s">
        <v>36</v>
      </c>
      <c r="S96" s="11" t="s">
        <v>37</v>
      </c>
      <c r="T96" s="11" t="s">
        <v>37</v>
      </c>
      <c r="U96" s="11" t="s">
        <v>37</v>
      </c>
      <c r="V96" s="10" t="s">
        <v>398</v>
      </c>
      <c r="W96" s="10" t="s">
        <v>39</v>
      </c>
      <c r="X96" s="10" t="s">
        <v>39</v>
      </c>
    </row>
    <row r="97" customFormat="false" ht="15" hidden="false" customHeight="false" outlineLevel="0" collapsed="false">
      <c r="A97" s="5" t="s">
        <v>399</v>
      </c>
      <c r="B97" s="5" t="s">
        <v>400</v>
      </c>
      <c r="C97" s="5" t="s">
        <v>26</v>
      </c>
      <c r="D97" s="6" t="str">
        <f aca="false">VLOOKUP(B97,[3]master!$b$6:$V$252,21,0)</f>
        <v>9426358772</v>
      </c>
      <c r="F97" s="7" t="n">
        <v>36562</v>
      </c>
      <c r="G97" s="7" t="n">
        <v>36562</v>
      </c>
      <c r="H97" s="5" t="s">
        <v>27</v>
      </c>
      <c r="I97" s="8" t="s">
        <v>28</v>
      </c>
      <c r="K97" s="5" t="s">
        <v>112</v>
      </c>
      <c r="L97" s="5" t="s">
        <v>30</v>
      </c>
      <c r="M97" s="10" t="s">
        <v>303</v>
      </c>
      <c r="N97" s="10" t="s">
        <v>32</v>
      </c>
      <c r="O97" s="10" t="s">
        <v>50</v>
      </c>
      <c r="P97" s="10" t="s">
        <v>34</v>
      </c>
      <c r="Q97" s="10" t="s">
        <v>35</v>
      </c>
      <c r="R97" s="10" t="s">
        <v>36</v>
      </c>
      <c r="S97" s="11" t="s">
        <v>37</v>
      </c>
      <c r="T97" s="11" t="s">
        <v>37</v>
      </c>
      <c r="U97" s="11" t="s">
        <v>37</v>
      </c>
      <c r="V97" s="10" t="s">
        <v>401</v>
      </c>
      <c r="W97" s="10" t="s">
        <v>39</v>
      </c>
      <c r="X97" s="10" t="s">
        <v>39</v>
      </c>
    </row>
    <row r="98" customFormat="false" ht="15" hidden="false" customHeight="false" outlineLevel="0" collapsed="false">
      <c r="A98" s="5" t="s">
        <v>402</v>
      </c>
      <c r="B98" s="5" t="s">
        <v>403</v>
      </c>
      <c r="C98" s="5" t="s">
        <v>26</v>
      </c>
      <c r="D98" s="6" t="str">
        <f aca="false">VLOOKUP(B98,[3]master!$b$6:$V$252,21,0)</f>
        <v>9909258562</v>
      </c>
      <c r="F98" s="7" t="n">
        <v>30762</v>
      </c>
      <c r="G98" s="7" t="n">
        <v>30762</v>
      </c>
      <c r="H98" s="5" t="s">
        <v>27</v>
      </c>
      <c r="I98" s="8" t="s">
        <v>28</v>
      </c>
      <c r="K98" s="5" t="s">
        <v>112</v>
      </c>
      <c r="L98" s="5" t="s">
        <v>30</v>
      </c>
      <c r="M98" s="10" t="s">
        <v>223</v>
      </c>
      <c r="N98" s="10" t="s">
        <v>32</v>
      </c>
      <c r="O98" s="10" t="s">
        <v>224</v>
      </c>
      <c r="P98" s="10" t="s">
        <v>34</v>
      </c>
      <c r="Q98" s="10" t="s">
        <v>35</v>
      </c>
      <c r="R98" s="10" t="s">
        <v>36</v>
      </c>
      <c r="S98" s="11" t="s">
        <v>37</v>
      </c>
      <c r="T98" s="11" t="s">
        <v>37</v>
      </c>
      <c r="U98" s="11" t="s">
        <v>37</v>
      </c>
      <c r="V98" s="10" t="s">
        <v>404</v>
      </c>
      <c r="W98" s="10" t="s">
        <v>39</v>
      </c>
      <c r="X98" s="10" t="s">
        <v>39</v>
      </c>
    </row>
    <row r="99" customFormat="false" ht="15" hidden="false" customHeight="false" outlineLevel="0" collapsed="false">
      <c r="A99" s="5" t="s">
        <v>405</v>
      </c>
      <c r="B99" s="5" t="s">
        <v>406</v>
      </c>
      <c r="C99" s="5" t="s">
        <v>26</v>
      </c>
      <c r="D99" s="6" t="str">
        <f aca="false">VLOOKUP(B99,[3]master!$b$6:$V$252,21,0)</f>
        <v>9099629215</v>
      </c>
      <c r="F99" s="7" t="n">
        <v>37778</v>
      </c>
      <c r="G99" s="7" t="n">
        <v>37778</v>
      </c>
      <c r="H99" s="5" t="s">
        <v>27</v>
      </c>
      <c r="I99" s="8" t="s">
        <v>28</v>
      </c>
      <c r="K99" s="5" t="s">
        <v>112</v>
      </c>
      <c r="L99" s="5" t="s">
        <v>30</v>
      </c>
      <c r="M99" s="10" t="s">
        <v>303</v>
      </c>
      <c r="N99" s="10" t="s">
        <v>32</v>
      </c>
      <c r="O99" s="10" t="s">
        <v>407</v>
      </c>
      <c r="P99" s="10" t="s">
        <v>34</v>
      </c>
      <c r="Q99" s="10" t="s">
        <v>35</v>
      </c>
      <c r="R99" s="10" t="s">
        <v>36</v>
      </c>
      <c r="S99" s="11" t="s">
        <v>37</v>
      </c>
      <c r="T99" s="11" t="s">
        <v>37</v>
      </c>
      <c r="U99" s="11" t="s">
        <v>37</v>
      </c>
      <c r="V99" s="10" t="s">
        <v>408</v>
      </c>
      <c r="W99" s="10" t="s">
        <v>39</v>
      </c>
      <c r="X99" s="10" t="s">
        <v>39</v>
      </c>
    </row>
    <row r="100" customFormat="false" ht="15" hidden="false" customHeight="false" outlineLevel="0" collapsed="false">
      <c r="A100" s="5" t="s">
        <v>409</v>
      </c>
      <c r="B100" s="5" t="s">
        <v>410</v>
      </c>
      <c r="C100" s="5" t="s">
        <v>26</v>
      </c>
      <c r="D100" s="6" t="str">
        <f aca="false">VLOOKUP(B100,[3]master!$b$6:$V$252,21,0)</f>
        <v>6355280653</v>
      </c>
      <c r="F100" s="7" t="n">
        <v>36642</v>
      </c>
      <c r="G100" s="7" t="n">
        <v>36642</v>
      </c>
      <c r="H100" s="5" t="s">
        <v>27</v>
      </c>
      <c r="I100" s="8" t="s">
        <v>28</v>
      </c>
      <c r="K100" s="5" t="s">
        <v>112</v>
      </c>
      <c r="L100" s="5" t="s">
        <v>30</v>
      </c>
      <c r="M100" s="10" t="s">
        <v>303</v>
      </c>
      <c r="N100" s="10" t="s">
        <v>32</v>
      </c>
      <c r="O100" s="10" t="s">
        <v>377</v>
      </c>
      <c r="P100" s="10" t="s">
        <v>34</v>
      </c>
      <c r="Q100" s="10" t="s">
        <v>35</v>
      </c>
      <c r="R100" s="10" t="s">
        <v>36</v>
      </c>
      <c r="S100" s="11" t="s">
        <v>37</v>
      </c>
      <c r="T100" s="11" t="s">
        <v>37</v>
      </c>
      <c r="U100" s="11" t="s">
        <v>37</v>
      </c>
      <c r="V100" s="10" t="s">
        <v>411</v>
      </c>
      <c r="W100" s="10" t="s">
        <v>39</v>
      </c>
      <c r="X100" s="10" t="s">
        <v>39</v>
      </c>
    </row>
    <row r="101" customFormat="false" ht="15" hidden="false" customHeight="false" outlineLevel="0" collapsed="false">
      <c r="A101" s="5" t="s">
        <v>412</v>
      </c>
      <c r="B101" s="5" t="s">
        <v>413</v>
      </c>
      <c r="C101" s="5" t="s">
        <v>26</v>
      </c>
      <c r="D101" s="6" t="str">
        <f aca="false">VLOOKUP(B101,[3]master!$b$6:$V$252,21,0)</f>
        <v>9904374678</v>
      </c>
      <c r="F101" s="7" t="n">
        <v>29587</v>
      </c>
      <c r="G101" s="7" t="n">
        <v>29587</v>
      </c>
      <c r="H101" s="5" t="s">
        <v>47</v>
      </c>
      <c r="I101" s="8" t="s">
        <v>28</v>
      </c>
      <c r="K101" s="5" t="s">
        <v>112</v>
      </c>
      <c r="L101" s="5" t="s">
        <v>30</v>
      </c>
      <c r="M101" s="10" t="s">
        <v>203</v>
      </c>
      <c r="N101" s="10" t="s">
        <v>32</v>
      </c>
      <c r="O101" s="10" t="s">
        <v>159</v>
      </c>
      <c r="P101" s="10" t="s">
        <v>34</v>
      </c>
      <c r="Q101" s="10" t="s">
        <v>35</v>
      </c>
      <c r="R101" s="10" t="s">
        <v>36</v>
      </c>
      <c r="S101" s="11" t="s">
        <v>37</v>
      </c>
      <c r="T101" s="11" t="s">
        <v>37</v>
      </c>
      <c r="U101" s="11" t="s">
        <v>37</v>
      </c>
      <c r="V101" s="10" t="s">
        <v>414</v>
      </c>
      <c r="W101" s="10" t="s">
        <v>39</v>
      </c>
      <c r="X101" s="10" t="s">
        <v>39</v>
      </c>
    </row>
    <row r="102" customFormat="false" ht="15" hidden="false" customHeight="false" outlineLevel="0" collapsed="false">
      <c r="A102" s="5" t="s">
        <v>415</v>
      </c>
      <c r="B102" s="5" t="s">
        <v>416</v>
      </c>
      <c r="C102" s="5" t="s">
        <v>26</v>
      </c>
      <c r="D102" s="6" t="n">
        <v>1125659985</v>
      </c>
      <c r="F102" s="7" t="n">
        <v>33097</v>
      </c>
      <c r="G102" s="7" t="n">
        <v>33097</v>
      </c>
      <c r="H102" s="5" t="s">
        <v>47</v>
      </c>
      <c r="I102" s="8" t="s">
        <v>28</v>
      </c>
      <c r="K102" s="5" t="s">
        <v>112</v>
      </c>
      <c r="L102" s="5" t="s">
        <v>30</v>
      </c>
      <c r="M102" s="10" t="s">
        <v>127</v>
      </c>
      <c r="N102" s="10" t="s">
        <v>32</v>
      </c>
      <c r="O102" s="10" t="s">
        <v>257</v>
      </c>
      <c r="P102" s="10" t="s">
        <v>34</v>
      </c>
      <c r="Q102" s="10" t="s">
        <v>35</v>
      </c>
      <c r="R102" s="10" t="s">
        <v>36</v>
      </c>
      <c r="S102" s="11" t="s">
        <v>37</v>
      </c>
      <c r="T102" s="11" t="s">
        <v>37</v>
      </c>
      <c r="U102" s="11" t="s">
        <v>37</v>
      </c>
      <c r="V102" s="10" t="s">
        <v>417</v>
      </c>
      <c r="W102" s="10" t="s">
        <v>39</v>
      </c>
      <c r="X102" s="10" t="s">
        <v>39</v>
      </c>
    </row>
    <row r="103" customFormat="false" ht="15" hidden="false" customHeight="false" outlineLevel="0" collapsed="false">
      <c r="A103" s="5" t="s">
        <v>418</v>
      </c>
      <c r="B103" s="5" t="s">
        <v>419</v>
      </c>
      <c r="C103" s="5" t="s">
        <v>26</v>
      </c>
      <c r="D103" s="6" t="str">
        <f aca="false">VLOOKUP(B103,[3]master!$b$6:$V$252,21,0)</f>
        <v>9687767827</v>
      </c>
      <c r="F103" s="7" t="n">
        <v>35775</v>
      </c>
      <c r="G103" s="7" t="n">
        <v>35775</v>
      </c>
      <c r="H103" s="5" t="s">
        <v>27</v>
      </c>
      <c r="I103" s="8" t="s">
        <v>28</v>
      </c>
      <c r="K103" s="5" t="s">
        <v>112</v>
      </c>
      <c r="L103" s="5" t="s">
        <v>30</v>
      </c>
      <c r="M103" s="10" t="s">
        <v>123</v>
      </c>
      <c r="N103" s="10" t="s">
        <v>32</v>
      </c>
      <c r="O103" s="10" t="s">
        <v>105</v>
      </c>
      <c r="P103" s="10" t="s">
        <v>34</v>
      </c>
      <c r="Q103" s="10" t="s">
        <v>35</v>
      </c>
      <c r="R103" s="10" t="s">
        <v>36</v>
      </c>
      <c r="S103" s="11" t="s">
        <v>37</v>
      </c>
      <c r="T103" s="11" t="s">
        <v>37</v>
      </c>
      <c r="U103" s="11" t="s">
        <v>37</v>
      </c>
      <c r="V103" s="10" t="s">
        <v>420</v>
      </c>
      <c r="W103" s="10" t="s">
        <v>39</v>
      </c>
      <c r="X103" s="10" t="s">
        <v>39</v>
      </c>
    </row>
    <row r="104" customFormat="false" ht="15" hidden="false" customHeight="false" outlineLevel="0" collapsed="false">
      <c r="A104" s="5" t="s">
        <v>421</v>
      </c>
      <c r="B104" s="5" t="s">
        <v>422</v>
      </c>
      <c r="C104" s="5" t="s">
        <v>42</v>
      </c>
      <c r="D104" s="6" t="str">
        <f aca="false">VLOOKUP(B104,[3]master!$b$6:$V$252,21,0)</f>
        <v>972130857</v>
      </c>
      <c r="F104" s="7" t="n">
        <v>30120</v>
      </c>
      <c r="G104" s="7" t="n">
        <v>30120</v>
      </c>
      <c r="H104" s="5" t="s">
        <v>136</v>
      </c>
      <c r="I104" s="8" t="s">
        <v>28</v>
      </c>
      <c r="K104" s="5" t="s">
        <v>112</v>
      </c>
      <c r="L104" s="5" t="s">
        <v>30</v>
      </c>
      <c r="M104" s="10" t="s">
        <v>174</v>
      </c>
      <c r="N104" s="10" t="s">
        <v>32</v>
      </c>
      <c r="O104" s="10" t="s">
        <v>351</v>
      </c>
      <c r="P104" s="10" t="s">
        <v>34</v>
      </c>
      <c r="Q104" s="10" t="s">
        <v>35</v>
      </c>
      <c r="R104" s="10" t="s">
        <v>36</v>
      </c>
      <c r="S104" s="11" t="s">
        <v>37</v>
      </c>
      <c r="T104" s="11" t="s">
        <v>37</v>
      </c>
      <c r="U104" s="11" t="s">
        <v>37</v>
      </c>
      <c r="V104" s="10" t="s">
        <v>423</v>
      </c>
      <c r="W104" s="10" t="s">
        <v>39</v>
      </c>
      <c r="X104" s="10" t="s">
        <v>39</v>
      </c>
    </row>
    <row r="105" customFormat="false" ht="15" hidden="false" customHeight="false" outlineLevel="0" collapsed="false">
      <c r="A105" s="5" t="s">
        <v>424</v>
      </c>
      <c r="B105" s="5" t="s">
        <v>425</v>
      </c>
      <c r="C105" s="5" t="s">
        <v>26</v>
      </c>
      <c r="D105" s="6" t="str">
        <f aca="false">VLOOKUP(B105,[3]master!$b$6:$V$252,21,0)</f>
        <v>9099456228</v>
      </c>
      <c r="F105" s="7" t="n">
        <v>26085</v>
      </c>
      <c r="G105" s="7" t="n">
        <v>26085</v>
      </c>
      <c r="H105" s="5" t="s">
        <v>27</v>
      </c>
      <c r="I105" s="8" t="s">
        <v>28</v>
      </c>
      <c r="K105" s="5" t="s">
        <v>112</v>
      </c>
      <c r="L105" s="5" t="s">
        <v>30</v>
      </c>
      <c r="M105" s="10" t="s">
        <v>137</v>
      </c>
      <c r="N105" s="10" t="s">
        <v>32</v>
      </c>
      <c r="O105" s="10" t="s">
        <v>159</v>
      </c>
      <c r="P105" s="10" t="s">
        <v>34</v>
      </c>
      <c r="Q105" s="10" t="s">
        <v>35</v>
      </c>
      <c r="R105" s="10" t="s">
        <v>36</v>
      </c>
      <c r="S105" s="11" t="s">
        <v>37</v>
      </c>
      <c r="T105" s="11" t="s">
        <v>37</v>
      </c>
      <c r="U105" s="11" t="s">
        <v>37</v>
      </c>
      <c r="V105" s="10" t="s">
        <v>426</v>
      </c>
      <c r="W105" s="10" t="s">
        <v>39</v>
      </c>
      <c r="X105" s="10" t="s">
        <v>39</v>
      </c>
    </row>
    <row r="106" customFormat="false" ht="15" hidden="false" customHeight="false" outlineLevel="0" collapsed="false">
      <c r="A106" s="5" t="s">
        <v>427</v>
      </c>
      <c r="B106" s="5" t="s">
        <v>428</v>
      </c>
      <c r="C106" s="5" t="s">
        <v>26</v>
      </c>
      <c r="D106" s="6" t="str">
        <f aca="false">VLOOKUP(B106,[3]master!$b$6:$V$252,21,0)</f>
        <v>9879979910</v>
      </c>
      <c r="F106" s="7" t="n">
        <v>27905</v>
      </c>
      <c r="G106" s="7" t="n">
        <v>27905</v>
      </c>
      <c r="H106" s="5" t="s">
        <v>27</v>
      </c>
      <c r="I106" s="8" t="s">
        <v>28</v>
      </c>
      <c r="K106" s="5" t="s">
        <v>112</v>
      </c>
      <c r="L106" s="5" t="s">
        <v>30</v>
      </c>
      <c r="M106" s="10" t="s">
        <v>137</v>
      </c>
      <c r="N106" s="10" t="s">
        <v>32</v>
      </c>
      <c r="O106" s="10" t="s">
        <v>159</v>
      </c>
      <c r="P106" s="10" t="s">
        <v>34</v>
      </c>
      <c r="Q106" s="10" t="s">
        <v>35</v>
      </c>
      <c r="R106" s="10" t="s">
        <v>36</v>
      </c>
      <c r="S106" s="11" t="s">
        <v>37</v>
      </c>
      <c r="T106" s="11" t="s">
        <v>37</v>
      </c>
      <c r="U106" s="11" t="s">
        <v>37</v>
      </c>
      <c r="V106" s="10" t="s">
        <v>429</v>
      </c>
      <c r="W106" s="10" t="s">
        <v>39</v>
      </c>
      <c r="X106" s="10" t="s">
        <v>39</v>
      </c>
    </row>
    <row r="107" customFormat="false" ht="15" hidden="false" customHeight="false" outlineLevel="0" collapsed="false">
      <c r="A107" s="5" t="s">
        <v>430</v>
      </c>
      <c r="B107" s="5" t="s">
        <v>431</v>
      </c>
      <c r="C107" s="5" t="s">
        <v>26</v>
      </c>
      <c r="D107" s="6" t="str">
        <f aca="false">VLOOKUP(B107,[3]master!$b$6:$V$252,21,0)</f>
        <v>9033979799</v>
      </c>
      <c r="F107" s="7" t="n">
        <v>22068</v>
      </c>
      <c r="G107" s="7" t="n">
        <v>22068</v>
      </c>
      <c r="H107" s="5" t="s">
        <v>27</v>
      </c>
      <c r="I107" s="8" t="s">
        <v>28</v>
      </c>
      <c r="K107" s="5" t="s">
        <v>112</v>
      </c>
      <c r="L107" s="5" t="s">
        <v>30</v>
      </c>
      <c r="M107" s="10" t="s">
        <v>203</v>
      </c>
      <c r="N107" s="10" t="s">
        <v>32</v>
      </c>
      <c r="O107" s="10" t="s">
        <v>159</v>
      </c>
      <c r="P107" s="10" t="s">
        <v>34</v>
      </c>
      <c r="Q107" s="10" t="s">
        <v>35</v>
      </c>
      <c r="R107" s="10" t="s">
        <v>36</v>
      </c>
      <c r="S107" s="11" t="s">
        <v>37</v>
      </c>
      <c r="T107" s="11" t="s">
        <v>37</v>
      </c>
      <c r="U107" s="11" t="s">
        <v>37</v>
      </c>
      <c r="V107" s="10" t="s">
        <v>432</v>
      </c>
      <c r="W107" s="10" t="s">
        <v>39</v>
      </c>
      <c r="X107" s="10" t="s">
        <v>39</v>
      </c>
    </row>
    <row r="108" customFormat="false" ht="15" hidden="false" customHeight="false" outlineLevel="0" collapsed="false">
      <c r="A108" s="5" t="s">
        <v>433</v>
      </c>
      <c r="B108" s="5" t="s">
        <v>434</v>
      </c>
      <c r="C108" s="5" t="s">
        <v>26</v>
      </c>
      <c r="D108" s="6" t="str">
        <f aca="false">VLOOKUP(B108,[3]master!$b$6:$V$252,21,0)</f>
        <v>6352472466</v>
      </c>
      <c r="F108" s="7" t="n">
        <v>26451</v>
      </c>
      <c r="G108" s="7" t="n">
        <v>26451</v>
      </c>
      <c r="H108" s="5" t="s">
        <v>27</v>
      </c>
      <c r="I108" s="8" t="s">
        <v>28</v>
      </c>
      <c r="K108" s="5" t="s">
        <v>112</v>
      </c>
      <c r="L108" s="5" t="s">
        <v>30</v>
      </c>
      <c r="M108" s="10" t="s">
        <v>198</v>
      </c>
      <c r="N108" s="10" t="s">
        <v>32</v>
      </c>
      <c r="O108" s="10" t="s">
        <v>435</v>
      </c>
      <c r="P108" s="10" t="s">
        <v>34</v>
      </c>
      <c r="Q108" s="10" t="s">
        <v>35</v>
      </c>
      <c r="R108" s="10" t="s">
        <v>36</v>
      </c>
      <c r="S108" s="11" t="s">
        <v>37</v>
      </c>
      <c r="T108" s="11" t="s">
        <v>37</v>
      </c>
      <c r="U108" s="11" t="s">
        <v>37</v>
      </c>
      <c r="V108" s="10" t="s">
        <v>436</v>
      </c>
      <c r="W108" s="10" t="s">
        <v>39</v>
      </c>
      <c r="X108" s="10" t="s">
        <v>39</v>
      </c>
    </row>
    <row r="109" customFormat="false" ht="15" hidden="false" customHeight="false" outlineLevel="0" collapsed="false">
      <c r="A109" s="5" t="s">
        <v>437</v>
      </c>
      <c r="B109" s="5" t="s">
        <v>438</v>
      </c>
      <c r="C109" s="5" t="s">
        <v>26</v>
      </c>
      <c r="D109" s="6" t="str">
        <f aca="false">VLOOKUP(B109,[3]master!$b$6:$V$252,21,0)</f>
        <v>8469012936</v>
      </c>
      <c r="F109" s="7" t="n">
        <v>30843</v>
      </c>
      <c r="G109" s="7" t="n">
        <v>30843</v>
      </c>
      <c r="H109" s="5" t="s">
        <v>27</v>
      </c>
      <c r="I109" s="8" t="s">
        <v>28</v>
      </c>
      <c r="K109" s="5" t="s">
        <v>112</v>
      </c>
      <c r="L109" s="5" t="s">
        <v>30</v>
      </c>
      <c r="M109" s="10" t="s">
        <v>137</v>
      </c>
      <c r="N109" s="10" t="s">
        <v>32</v>
      </c>
      <c r="O109" s="10" t="s">
        <v>159</v>
      </c>
      <c r="P109" s="10" t="s">
        <v>34</v>
      </c>
      <c r="Q109" s="10" t="s">
        <v>35</v>
      </c>
      <c r="R109" s="10" t="s">
        <v>36</v>
      </c>
      <c r="S109" s="11" t="s">
        <v>37</v>
      </c>
      <c r="T109" s="11" t="s">
        <v>37</v>
      </c>
      <c r="U109" s="11" t="s">
        <v>37</v>
      </c>
      <c r="V109" s="10" t="s">
        <v>439</v>
      </c>
      <c r="W109" s="10" t="s">
        <v>39</v>
      </c>
      <c r="X109" s="10" t="s">
        <v>39</v>
      </c>
    </row>
    <row r="110" customFormat="false" ht="15" hidden="false" customHeight="false" outlineLevel="0" collapsed="false">
      <c r="A110" s="5" t="s">
        <v>440</v>
      </c>
      <c r="B110" s="5" t="s">
        <v>441</v>
      </c>
      <c r="C110" s="5" t="s">
        <v>26</v>
      </c>
      <c r="D110" s="6" t="str">
        <f aca="false">VLOOKUP(B110,[3]master!$b$6:$V$252,21,0)</f>
        <v>9978714500</v>
      </c>
      <c r="F110" s="7" t="n">
        <v>36337</v>
      </c>
      <c r="G110" s="7" t="n">
        <v>36337</v>
      </c>
      <c r="H110" s="5" t="s">
        <v>27</v>
      </c>
      <c r="I110" s="8" t="s">
        <v>28</v>
      </c>
      <c r="K110" s="5" t="s">
        <v>112</v>
      </c>
      <c r="L110" s="5" t="s">
        <v>30</v>
      </c>
      <c r="M110" s="10" t="s">
        <v>142</v>
      </c>
      <c r="N110" s="10" t="s">
        <v>32</v>
      </c>
      <c r="O110" s="10" t="s">
        <v>132</v>
      </c>
      <c r="P110" s="10" t="s">
        <v>34</v>
      </c>
      <c r="Q110" s="10" t="s">
        <v>35</v>
      </c>
      <c r="R110" s="10" t="s">
        <v>36</v>
      </c>
      <c r="S110" s="11" t="s">
        <v>37</v>
      </c>
      <c r="T110" s="11" t="s">
        <v>37</v>
      </c>
      <c r="U110" s="11" t="s">
        <v>37</v>
      </c>
      <c r="V110" s="10" t="s">
        <v>442</v>
      </c>
      <c r="W110" s="10" t="s">
        <v>39</v>
      </c>
      <c r="X110" s="10" t="s">
        <v>39</v>
      </c>
    </row>
    <row r="111" customFormat="false" ht="15" hidden="false" customHeight="false" outlineLevel="0" collapsed="false">
      <c r="A111" s="5" t="s">
        <v>443</v>
      </c>
      <c r="B111" s="5" t="s">
        <v>444</v>
      </c>
      <c r="C111" s="5" t="s">
        <v>26</v>
      </c>
      <c r="D111" s="6" t="str">
        <f aca="false">VLOOKUP(B111,[3]master!$b$6:$V$252,21,0)</f>
        <v>7567121985</v>
      </c>
      <c r="F111" s="7" t="n">
        <v>23530</v>
      </c>
      <c r="G111" s="7" t="n">
        <v>23530</v>
      </c>
      <c r="H111" s="5" t="s">
        <v>136</v>
      </c>
      <c r="I111" s="8" t="s">
        <v>28</v>
      </c>
      <c r="K111" s="5" t="s">
        <v>112</v>
      </c>
      <c r="L111" s="5" t="s">
        <v>30</v>
      </c>
      <c r="M111" s="10" t="s">
        <v>70</v>
      </c>
      <c r="N111" s="10" t="s">
        <v>32</v>
      </c>
      <c r="O111" s="10" t="s">
        <v>71</v>
      </c>
      <c r="P111" s="10" t="s">
        <v>34</v>
      </c>
      <c r="Q111" s="10" t="s">
        <v>35</v>
      </c>
      <c r="R111" s="10" t="s">
        <v>36</v>
      </c>
      <c r="S111" s="11" t="s">
        <v>37</v>
      </c>
      <c r="T111" s="11" t="s">
        <v>37</v>
      </c>
      <c r="U111" s="11" t="s">
        <v>37</v>
      </c>
      <c r="V111" s="14" t="s">
        <v>445</v>
      </c>
      <c r="W111" s="10" t="s">
        <v>39</v>
      </c>
      <c r="X111" s="10" t="s">
        <v>39</v>
      </c>
    </row>
    <row r="112" customFormat="false" ht="15" hidden="false" customHeight="false" outlineLevel="0" collapsed="false">
      <c r="A112" s="5" t="s">
        <v>446</v>
      </c>
      <c r="B112" s="5" t="s">
        <v>447</v>
      </c>
      <c r="C112" s="5" t="s">
        <v>42</v>
      </c>
      <c r="D112" s="6" t="str">
        <f aca="false">VLOOKUP(B112,[3]master!$b$6:$V$252,21,0)</f>
        <v>8291221136</v>
      </c>
      <c r="F112" s="7" t="n">
        <v>31514</v>
      </c>
      <c r="G112" s="7" t="n">
        <v>31514</v>
      </c>
      <c r="H112" s="5" t="s">
        <v>136</v>
      </c>
      <c r="I112" s="8" t="s">
        <v>28</v>
      </c>
      <c r="K112" s="5" t="s">
        <v>112</v>
      </c>
      <c r="L112" s="5" t="s">
        <v>30</v>
      </c>
      <c r="M112" s="10" t="s">
        <v>49</v>
      </c>
      <c r="N112" s="10" t="s">
        <v>32</v>
      </c>
      <c r="O112" s="10" t="s">
        <v>448</v>
      </c>
      <c r="P112" s="10" t="s">
        <v>34</v>
      </c>
      <c r="Q112" s="10" t="s">
        <v>35</v>
      </c>
      <c r="R112" s="10" t="s">
        <v>36</v>
      </c>
      <c r="S112" s="11" t="s">
        <v>37</v>
      </c>
      <c r="T112" s="11" t="s">
        <v>37</v>
      </c>
      <c r="U112" s="11" t="s">
        <v>37</v>
      </c>
      <c r="V112" s="1" t="s">
        <v>449</v>
      </c>
      <c r="W112" s="10" t="s">
        <v>39</v>
      </c>
      <c r="X112" s="10" t="s">
        <v>39</v>
      </c>
    </row>
    <row r="113" customFormat="false" ht="15" hidden="false" customHeight="false" outlineLevel="0" collapsed="false">
      <c r="A113" s="5" t="s">
        <v>450</v>
      </c>
      <c r="B113" s="5" t="s">
        <v>451</v>
      </c>
      <c r="C113" s="5" t="s">
        <v>26</v>
      </c>
      <c r="D113" s="6" t="str">
        <f aca="false">VLOOKUP(B113,[3]master!$b$6:$V$252,21,0)</f>
        <v>8160639806</v>
      </c>
      <c r="F113" s="7" t="n">
        <v>36555</v>
      </c>
      <c r="G113" s="7" t="n">
        <v>36555</v>
      </c>
      <c r="H113" s="5" t="s">
        <v>27</v>
      </c>
      <c r="I113" s="8" t="s">
        <v>28</v>
      </c>
      <c r="K113" s="5" t="s">
        <v>112</v>
      </c>
      <c r="L113" s="5" t="s">
        <v>30</v>
      </c>
      <c r="M113" s="10" t="s">
        <v>363</v>
      </c>
      <c r="N113" s="10" t="s">
        <v>32</v>
      </c>
      <c r="O113" s="10" t="s">
        <v>211</v>
      </c>
      <c r="P113" s="10" t="s">
        <v>34</v>
      </c>
      <c r="Q113" s="10" t="s">
        <v>35</v>
      </c>
      <c r="R113" s="10" t="s">
        <v>36</v>
      </c>
      <c r="S113" s="11" t="s">
        <v>37</v>
      </c>
      <c r="T113" s="11" t="s">
        <v>37</v>
      </c>
      <c r="U113" s="11" t="s">
        <v>37</v>
      </c>
      <c r="V113" s="1" t="s">
        <v>452</v>
      </c>
      <c r="W113" s="10" t="s">
        <v>39</v>
      </c>
      <c r="X113" s="10" t="s">
        <v>39</v>
      </c>
    </row>
    <row r="114" customFormat="false" ht="15" hidden="false" customHeight="false" outlineLevel="0" collapsed="false">
      <c r="A114" s="5" t="s">
        <v>453</v>
      </c>
      <c r="B114" s="5" t="s">
        <v>454</v>
      </c>
      <c r="C114" s="5" t="s">
        <v>42</v>
      </c>
      <c r="D114" s="6" t="str">
        <f aca="false">VLOOKUP(B114,[3]master!$b$6:$V$252,21,0)</f>
        <v>6203778904</v>
      </c>
      <c r="F114" s="7" t="n">
        <v>31834</v>
      </c>
      <c r="G114" s="7" t="n">
        <v>31834</v>
      </c>
      <c r="H114" s="5" t="s">
        <v>136</v>
      </c>
      <c r="I114" s="8" t="s">
        <v>28</v>
      </c>
      <c r="K114" s="5" t="s">
        <v>112</v>
      </c>
      <c r="L114" s="5" t="s">
        <v>30</v>
      </c>
      <c r="M114" s="10" t="s">
        <v>455</v>
      </c>
      <c r="N114" s="10" t="s">
        <v>32</v>
      </c>
      <c r="O114" s="10" t="s">
        <v>456</v>
      </c>
      <c r="P114" s="10" t="s">
        <v>34</v>
      </c>
      <c r="Q114" s="10" t="s">
        <v>35</v>
      </c>
      <c r="R114" s="10" t="s">
        <v>36</v>
      </c>
      <c r="S114" s="11" t="s">
        <v>37</v>
      </c>
      <c r="T114" s="11" t="s">
        <v>37</v>
      </c>
      <c r="U114" s="11" t="s">
        <v>37</v>
      </c>
      <c r="V114" s="1" t="s">
        <v>457</v>
      </c>
      <c r="W114" s="10" t="s">
        <v>39</v>
      </c>
      <c r="X114" s="10" t="s">
        <v>39</v>
      </c>
    </row>
    <row r="115" customFormat="false" ht="15" hidden="false" customHeight="false" outlineLevel="0" collapsed="false">
      <c r="A115" s="5" t="s">
        <v>458</v>
      </c>
      <c r="B115" s="5" t="s">
        <v>459</v>
      </c>
      <c r="C115" s="5" t="s">
        <v>26</v>
      </c>
      <c r="D115" s="6" t="str">
        <f aca="false">VLOOKUP(B115,[3]master!$b$6:$V$252,21,0)</f>
        <v>8369428712</v>
      </c>
      <c r="F115" s="7" t="n">
        <v>30543</v>
      </c>
      <c r="G115" s="7" t="n">
        <v>30543</v>
      </c>
      <c r="H115" s="5" t="s">
        <v>136</v>
      </c>
      <c r="I115" s="8" t="s">
        <v>28</v>
      </c>
      <c r="K115" s="5" t="s">
        <v>112</v>
      </c>
      <c r="L115" s="5" t="s">
        <v>30</v>
      </c>
      <c r="M115" s="10" t="s">
        <v>123</v>
      </c>
      <c r="N115" s="10" t="s">
        <v>32</v>
      </c>
      <c r="O115" s="10" t="s">
        <v>175</v>
      </c>
      <c r="P115" s="10" t="s">
        <v>34</v>
      </c>
      <c r="Q115" s="10" t="s">
        <v>35</v>
      </c>
      <c r="R115" s="10" t="s">
        <v>36</v>
      </c>
      <c r="S115" s="11" t="s">
        <v>37</v>
      </c>
      <c r="T115" s="11" t="s">
        <v>37</v>
      </c>
      <c r="U115" s="11" t="s">
        <v>37</v>
      </c>
      <c r="V115" s="1" t="s">
        <v>460</v>
      </c>
      <c r="W115" s="10" t="s">
        <v>39</v>
      </c>
      <c r="X115" s="10" t="s">
        <v>39</v>
      </c>
    </row>
    <row r="116" customFormat="false" ht="15" hidden="false" customHeight="false" outlineLevel="0" collapsed="false">
      <c r="A116" s="5" t="s">
        <v>461</v>
      </c>
      <c r="B116" s="5" t="s">
        <v>462</v>
      </c>
      <c r="C116" s="5" t="s">
        <v>26</v>
      </c>
      <c r="D116" s="6" t="str">
        <f aca="false">VLOOKUP(B116,[3]master!$b$6:$V$252,21,0)</f>
        <v>9925361603</v>
      </c>
      <c r="F116" s="7" t="n">
        <v>22068</v>
      </c>
      <c r="G116" s="7" t="n">
        <v>22068</v>
      </c>
      <c r="H116" s="5" t="s">
        <v>47</v>
      </c>
      <c r="I116" s="8" t="s">
        <v>28</v>
      </c>
      <c r="K116" s="5" t="s">
        <v>112</v>
      </c>
      <c r="L116" s="5" t="s">
        <v>30</v>
      </c>
      <c r="M116" s="10" t="s">
        <v>70</v>
      </c>
      <c r="N116" s="10" t="s">
        <v>32</v>
      </c>
      <c r="O116" s="10" t="s">
        <v>170</v>
      </c>
      <c r="P116" s="10" t="s">
        <v>34</v>
      </c>
      <c r="Q116" s="10" t="s">
        <v>35</v>
      </c>
      <c r="R116" s="10" t="s">
        <v>36</v>
      </c>
      <c r="S116" s="11" t="s">
        <v>37</v>
      </c>
      <c r="T116" s="11" t="s">
        <v>37</v>
      </c>
      <c r="U116" s="11" t="s">
        <v>37</v>
      </c>
      <c r="V116" s="1" t="s">
        <v>463</v>
      </c>
      <c r="W116" s="10" t="s">
        <v>39</v>
      </c>
      <c r="X116" s="10" t="s">
        <v>39</v>
      </c>
    </row>
    <row r="117" customFormat="false" ht="15" hidden="false" customHeight="false" outlineLevel="0" collapsed="false">
      <c r="A117" s="5" t="s">
        <v>464</v>
      </c>
      <c r="B117" s="5" t="s">
        <v>465</v>
      </c>
      <c r="C117" s="5" t="s">
        <v>26</v>
      </c>
      <c r="D117" s="6" t="str">
        <f aca="false">VLOOKUP(B117,[3]master!$b$6:$V$252,21,0)</f>
        <v>9586567099</v>
      </c>
      <c r="F117" s="7" t="n">
        <v>30252</v>
      </c>
      <c r="G117" s="7" t="n">
        <v>30252</v>
      </c>
      <c r="H117" s="5" t="s">
        <v>27</v>
      </c>
      <c r="I117" s="8" t="s">
        <v>28</v>
      </c>
      <c r="K117" s="5" t="s">
        <v>112</v>
      </c>
      <c r="L117" s="5" t="s">
        <v>30</v>
      </c>
      <c r="M117" s="10" t="s">
        <v>317</v>
      </c>
      <c r="N117" s="10" t="s">
        <v>32</v>
      </c>
      <c r="O117" s="10" t="s">
        <v>199</v>
      </c>
      <c r="P117" s="10" t="s">
        <v>34</v>
      </c>
      <c r="Q117" s="10" t="s">
        <v>35</v>
      </c>
      <c r="R117" s="10" t="s">
        <v>36</v>
      </c>
      <c r="S117" s="11" t="s">
        <v>37</v>
      </c>
      <c r="T117" s="11" t="s">
        <v>37</v>
      </c>
      <c r="U117" s="11" t="s">
        <v>37</v>
      </c>
      <c r="V117" s="1" t="s">
        <v>466</v>
      </c>
      <c r="W117" s="10" t="s">
        <v>39</v>
      </c>
      <c r="X117" s="10" t="s">
        <v>39</v>
      </c>
    </row>
    <row r="118" customFormat="false" ht="15" hidden="false" customHeight="false" outlineLevel="0" collapsed="false">
      <c r="A118" s="5" t="s">
        <v>467</v>
      </c>
      <c r="B118" s="5" t="s">
        <v>468</v>
      </c>
      <c r="C118" s="5" t="s">
        <v>26</v>
      </c>
      <c r="D118" s="6" t="str">
        <f aca="false">VLOOKUP(B118,[3]master!$b$6:$V$252,21,0)</f>
        <v>9638275796</v>
      </c>
      <c r="F118" s="7" t="n">
        <v>37207</v>
      </c>
      <c r="G118" s="7" t="n">
        <v>37207</v>
      </c>
      <c r="H118" s="5" t="s">
        <v>27</v>
      </c>
      <c r="I118" s="8" t="s">
        <v>28</v>
      </c>
      <c r="K118" s="5" t="s">
        <v>112</v>
      </c>
      <c r="L118" s="5" t="s">
        <v>30</v>
      </c>
      <c r="M118" s="10" t="s">
        <v>113</v>
      </c>
      <c r="N118" s="10" t="s">
        <v>32</v>
      </c>
      <c r="O118" s="10" t="s">
        <v>469</v>
      </c>
      <c r="P118" s="10" t="s">
        <v>34</v>
      </c>
      <c r="Q118" s="10" t="s">
        <v>35</v>
      </c>
      <c r="R118" s="10" t="s">
        <v>36</v>
      </c>
      <c r="S118" s="11" t="s">
        <v>37</v>
      </c>
      <c r="T118" s="11" t="s">
        <v>37</v>
      </c>
      <c r="U118" s="11" t="s">
        <v>37</v>
      </c>
      <c r="V118" s="1" t="s">
        <v>470</v>
      </c>
      <c r="W118" s="10" t="s">
        <v>39</v>
      </c>
      <c r="X118" s="10" t="s">
        <v>39</v>
      </c>
    </row>
    <row r="119" customFormat="false" ht="15" hidden="false" customHeight="false" outlineLevel="0" collapsed="false">
      <c r="A119" s="5" t="s">
        <v>471</v>
      </c>
      <c r="B119" s="5" t="s">
        <v>472</v>
      </c>
      <c r="C119" s="5" t="s">
        <v>26</v>
      </c>
      <c r="D119" s="6" t="str">
        <f aca="false">VLOOKUP(B119,[3]master!$b$6:$V$252,21,0)</f>
        <v>8141292841</v>
      </c>
      <c r="F119" s="7" t="n">
        <v>30834</v>
      </c>
      <c r="G119" s="7" t="n">
        <v>30834</v>
      </c>
      <c r="H119" s="5" t="s">
        <v>27</v>
      </c>
      <c r="I119" s="8" t="s">
        <v>28</v>
      </c>
      <c r="K119" s="5" t="s">
        <v>112</v>
      </c>
      <c r="L119" s="5" t="s">
        <v>30</v>
      </c>
      <c r="M119" s="10" t="s">
        <v>317</v>
      </c>
      <c r="N119" s="10" t="s">
        <v>32</v>
      </c>
      <c r="O119" s="10" t="s">
        <v>199</v>
      </c>
      <c r="P119" s="10" t="s">
        <v>34</v>
      </c>
      <c r="Q119" s="10" t="s">
        <v>35</v>
      </c>
      <c r="R119" s="10" t="s">
        <v>36</v>
      </c>
      <c r="S119" s="11" t="s">
        <v>37</v>
      </c>
      <c r="T119" s="11" t="s">
        <v>37</v>
      </c>
      <c r="U119" s="11" t="s">
        <v>37</v>
      </c>
      <c r="V119" s="1" t="s">
        <v>473</v>
      </c>
      <c r="W119" s="10" t="s">
        <v>39</v>
      </c>
      <c r="X119" s="10" t="s">
        <v>39</v>
      </c>
    </row>
    <row r="120" customFormat="false" ht="15" hidden="false" customHeight="false" outlineLevel="0" collapsed="false">
      <c r="A120" s="5" t="s">
        <v>474</v>
      </c>
      <c r="B120" s="5" t="s">
        <v>475</v>
      </c>
      <c r="C120" s="5" t="s">
        <v>26</v>
      </c>
      <c r="D120" s="6" t="str">
        <f aca="false">VLOOKUP(B120,[3]master!$b$6:$V$252,21,0)</f>
        <v>9277251849</v>
      </c>
      <c r="F120" s="7" t="n">
        <v>33027</v>
      </c>
      <c r="G120" s="7" t="n">
        <v>33027</v>
      </c>
      <c r="H120" s="5" t="s">
        <v>47</v>
      </c>
      <c r="I120" s="8" t="s">
        <v>28</v>
      </c>
      <c r="K120" s="5" t="s">
        <v>112</v>
      </c>
      <c r="L120" s="5" t="s">
        <v>30</v>
      </c>
      <c r="M120" s="10" t="s">
        <v>127</v>
      </c>
      <c r="N120" s="10" t="s">
        <v>32</v>
      </c>
      <c r="O120" s="10" t="s">
        <v>132</v>
      </c>
      <c r="P120" s="10" t="s">
        <v>34</v>
      </c>
      <c r="Q120" s="10" t="s">
        <v>35</v>
      </c>
      <c r="R120" s="10" t="s">
        <v>36</v>
      </c>
      <c r="S120" s="11" t="s">
        <v>37</v>
      </c>
      <c r="T120" s="11" t="s">
        <v>37</v>
      </c>
      <c r="U120" s="11" t="s">
        <v>37</v>
      </c>
      <c r="V120" s="1" t="s">
        <v>476</v>
      </c>
      <c r="W120" s="10" t="s">
        <v>39</v>
      </c>
      <c r="X120" s="10" t="s">
        <v>39</v>
      </c>
    </row>
    <row r="121" customFormat="false" ht="15" hidden="false" customHeight="false" outlineLevel="0" collapsed="false">
      <c r="A121" s="5" t="s">
        <v>477</v>
      </c>
      <c r="B121" s="5" t="s">
        <v>478</v>
      </c>
      <c r="C121" s="5" t="s">
        <v>26</v>
      </c>
      <c r="D121" s="6" t="str">
        <f aca="false">VLOOKUP(B121,[3]master!$b$6:$V$252,21,0)</f>
        <v>9879464259</v>
      </c>
      <c r="F121" s="7" t="n">
        <v>34018</v>
      </c>
      <c r="G121" s="7" t="n">
        <v>34018</v>
      </c>
      <c r="H121" s="5" t="s">
        <v>47</v>
      </c>
      <c r="I121" s="8" t="s">
        <v>28</v>
      </c>
      <c r="K121" s="5" t="s">
        <v>112</v>
      </c>
      <c r="L121" s="5" t="s">
        <v>30</v>
      </c>
      <c r="M121" s="10" t="s">
        <v>215</v>
      </c>
      <c r="N121" s="10" t="s">
        <v>32</v>
      </c>
      <c r="O121" s="10" t="s">
        <v>114</v>
      </c>
      <c r="P121" s="10" t="s">
        <v>34</v>
      </c>
      <c r="Q121" s="10" t="s">
        <v>35</v>
      </c>
      <c r="R121" s="10" t="s">
        <v>36</v>
      </c>
      <c r="S121" s="11" t="s">
        <v>37</v>
      </c>
      <c r="T121" s="11" t="s">
        <v>37</v>
      </c>
      <c r="U121" s="11" t="s">
        <v>37</v>
      </c>
      <c r="V121" s="1" t="s">
        <v>479</v>
      </c>
      <c r="W121" s="10" t="s">
        <v>39</v>
      </c>
      <c r="X121" s="10" t="s">
        <v>39</v>
      </c>
    </row>
    <row r="122" customFormat="false" ht="15" hidden="false" customHeight="false" outlineLevel="0" collapsed="false">
      <c r="A122" s="5" t="s">
        <v>480</v>
      </c>
      <c r="B122" s="5" t="s">
        <v>481</v>
      </c>
      <c r="C122" s="5" t="s">
        <v>26</v>
      </c>
      <c r="D122" s="6" t="str">
        <f aca="false">VLOOKUP(B122,[3]master!$b$6:$V$252,21,0)</f>
        <v>7226090356</v>
      </c>
      <c r="F122" s="7" t="n">
        <v>37623</v>
      </c>
      <c r="G122" s="7" t="n">
        <v>37623</v>
      </c>
      <c r="H122" s="5" t="s">
        <v>136</v>
      </c>
      <c r="I122" s="8" t="s">
        <v>28</v>
      </c>
      <c r="K122" s="5" t="s">
        <v>112</v>
      </c>
      <c r="L122" s="5" t="s">
        <v>30</v>
      </c>
      <c r="M122" s="10" t="s">
        <v>142</v>
      </c>
      <c r="N122" s="10" t="s">
        <v>32</v>
      </c>
      <c r="O122" s="10" t="s">
        <v>132</v>
      </c>
      <c r="P122" s="10" t="s">
        <v>34</v>
      </c>
      <c r="Q122" s="10" t="s">
        <v>35</v>
      </c>
      <c r="R122" s="10" t="s">
        <v>36</v>
      </c>
      <c r="S122" s="11" t="s">
        <v>37</v>
      </c>
      <c r="T122" s="11" t="s">
        <v>37</v>
      </c>
      <c r="U122" s="11" t="s">
        <v>37</v>
      </c>
      <c r="V122" s="1" t="s">
        <v>482</v>
      </c>
      <c r="W122" s="10" t="s">
        <v>39</v>
      </c>
      <c r="X122" s="10" t="s">
        <v>39</v>
      </c>
    </row>
    <row r="123" customFormat="false" ht="15" hidden="false" customHeight="false" outlineLevel="0" collapsed="false">
      <c r="A123" s="5" t="s">
        <v>483</v>
      </c>
      <c r="B123" s="5" t="s">
        <v>484</v>
      </c>
      <c r="C123" s="5" t="s">
        <v>26</v>
      </c>
      <c r="D123" s="6" t="str">
        <f aca="false">VLOOKUP(B123,[3]master!$b$6:$V$252,21,0)</f>
        <v>9825573841</v>
      </c>
      <c r="F123" s="7" t="n">
        <v>35365</v>
      </c>
      <c r="G123" s="7" t="n">
        <v>35365</v>
      </c>
      <c r="H123" s="5" t="s">
        <v>47</v>
      </c>
      <c r="I123" s="8" t="s">
        <v>28</v>
      </c>
      <c r="K123" s="5" t="s">
        <v>112</v>
      </c>
      <c r="L123" s="5" t="s">
        <v>30</v>
      </c>
      <c r="M123" s="10" t="s">
        <v>485</v>
      </c>
      <c r="N123" s="10" t="s">
        <v>32</v>
      </c>
      <c r="O123" s="10" t="s">
        <v>486</v>
      </c>
      <c r="P123" s="10" t="s">
        <v>34</v>
      </c>
      <c r="Q123" s="10" t="s">
        <v>35</v>
      </c>
      <c r="R123" s="10" t="s">
        <v>36</v>
      </c>
      <c r="S123" s="11" t="s">
        <v>37</v>
      </c>
      <c r="T123" s="11" t="s">
        <v>37</v>
      </c>
      <c r="U123" s="11" t="s">
        <v>37</v>
      </c>
      <c r="V123" s="1" t="s">
        <v>487</v>
      </c>
      <c r="W123" s="10" t="s">
        <v>39</v>
      </c>
      <c r="X123" s="10" t="s">
        <v>39</v>
      </c>
    </row>
    <row r="124" customFormat="false" ht="15" hidden="false" customHeight="false" outlineLevel="0" collapsed="false">
      <c r="A124" s="5" t="s">
        <v>488</v>
      </c>
      <c r="B124" s="5" t="s">
        <v>489</v>
      </c>
      <c r="C124" s="5" t="s">
        <v>26</v>
      </c>
      <c r="D124" s="6" t="str">
        <f aca="false">VLOOKUP(B124,[3]master!$b$6:$V$252,21,0)</f>
        <v>9662677979</v>
      </c>
      <c r="F124" s="7" t="n">
        <v>33739</v>
      </c>
      <c r="G124" s="7" t="n">
        <v>33739</v>
      </c>
      <c r="H124" s="5" t="s">
        <v>27</v>
      </c>
      <c r="I124" s="8" t="s">
        <v>28</v>
      </c>
      <c r="K124" s="5" t="s">
        <v>112</v>
      </c>
      <c r="L124" s="5" t="s">
        <v>30</v>
      </c>
      <c r="M124" s="10" t="s">
        <v>127</v>
      </c>
      <c r="N124" s="10" t="s">
        <v>32</v>
      </c>
      <c r="O124" s="10" t="s">
        <v>132</v>
      </c>
      <c r="P124" s="10" t="s">
        <v>34</v>
      </c>
      <c r="Q124" s="10" t="s">
        <v>35</v>
      </c>
      <c r="R124" s="10" t="s">
        <v>36</v>
      </c>
      <c r="S124" s="11" t="s">
        <v>37</v>
      </c>
      <c r="T124" s="11" t="s">
        <v>37</v>
      </c>
      <c r="U124" s="11" t="s">
        <v>37</v>
      </c>
      <c r="V124" s="1" t="s">
        <v>490</v>
      </c>
      <c r="W124" s="10" t="s">
        <v>39</v>
      </c>
      <c r="X124" s="10" t="s">
        <v>39</v>
      </c>
    </row>
    <row r="125" customFormat="false" ht="15" hidden="false" customHeight="false" outlineLevel="0" collapsed="false">
      <c r="A125" s="5" t="s">
        <v>491</v>
      </c>
      <c r="B125" s="5" t="s">
        <v>492</v>
      </c>
      <c r="C125" s="5" t="s">
        <v>42</v>
      </c>
      <c r="D125" s="6" t="str">
        <f aca="false">VLOOKUP(B125,[3]master!$b$6:$V$252,21,0)</f>
        <v>7016370879</v>
      </c>
      <c r="F125" s="7" t="n">
        <v>30174</v>
      </c>
      <c r="G125" s="7" t="n">
        <v>30174</v>
      </c>
      <c r="H125" s="5" t="s">
        <v>27</v>
      </c>
      <c r="I125" s="8" t="s">
        <v>28</v>
      </c>
      <c r="K125" s="5" t="s">
        <v>112</v>
      </c>
      <c r="L125" s="5" t="s">
        <v>30</v>
      </c>
      <c r="M125" s="10" t="s">
        <v>49</v>
      </c>
      <c r="N125" s="10" t="s">
        <v>32</v>
      </c>
      <c r="O125" s="10" t="s">
        <v>448</v>
      </c>
      <c r="P125" s="10" t="s">
        <v>34</v>
      </c>
      <c r="Q125" s="10" t="s">
        <v>35</v>
      </c>
      <c r="R125" s="10" t="s">
        <v>36</v>
      </c>
      <c r="S125" s="11" t="s">
        <v>37</v>
      </c>
      <c r="T125" s="11" t="s">
        <v>37</v>
      </c>
      <c r="U125" s="11" t="s">
        <v>37</v>
      </c>
      <c r="V125" s="1" t="s">
        <v>493</v>
      </c>
      <c r="W125" s="10" t="s">
        <v>39</v>
      </c>
      <c r="X125" s="10" t="s">
        <v>39</v>
      </c>
    </row>
    <row r="126" customFormat="false" ht="15" hidden="false" customHeight="false" outlineLevel="0" collapsed="false">
      <c r="A126" s="5" t="s">
        <v>494</v>
      </c>
      <c r="B126" s="5" t="s">
        <v>495</v>
      </c>
      <c r="C126" s="5" t="s">
        <v>42</v>
      </c>
      <c r="D126" s="6" t="str">
        <f aca="false">VLOOKUP(B126,[3]master!$b$6:$V$252,21,0)</f>
        <v>9737786124</v>
      </c>
      <c r="F126" s="7" t="n">
        <v>32937</v>
      </c>
      <c r="G126" s="7" t="n">
        <v>32937</v>
      </c>
      <c r="H126" s="5" t="s">
        <v>47</v>
      </c>
      <c r="I126" s="8" t="s">
        <v>28</v>
      </c>
      <c r="K126" s="5" t="s">
        <v>112</v>
      </c>
      <c r="L126" s="5" t="s">
        <v>30</v>
      </c>
      <c r="M126" s="10" t="s">
        <v>49</v>
      </c>
      <c r="N126" s="10" t="s">
        <v>32</v>
      </c>
      <c r="O126" s="10" t="s">
        <v>448</v>
      </c>
      <c r="P126" s="10" t="s">
        <v>34</v>
      </c>
      <c r="Q126" s="10" t="s">
        <v>35</v>
      </c>
      <c r="R126" s="10" t="s">
        <v>36</v>
      </c>
      <c r="S126" s="11" t="s">
        <v>37</v>
      </c>
      <c r="T126" s="11" t="s">
        <v>37</v>
      </c>
      <c r="U126" s="11" t="s">
        <v>37</v>
      </c>
      <c r="V126" s="1" t="s">
        <v>496</v>
      </c>
      <c r="W126" s="10" t="s">
        <v>39</v>
      </c>
      <c r="X126" s="10" t="s">
        <v>39</v>
      </c>
    </row>
    <row r="127" customFormat="false" ht="15" hidden="false" customHeight="false" outlineLevel="0" collapsed="false">
      <c r="A127" s="5" t="s">
        <v>497</v>
      </c>
      <c r="B127" s="5" t="s">
        <v>498</v>
      </c>
      <c r="C127" s="5" t="s">
        <v>42</v>
      </c>
      <c r="D127" s="6" t="str">
        <f aca="false">VLOOKUP(B127,[3]master!$b$6:$V$252,21,0)</f>
        <v>7698860605</v>
      </c>
      <c r="F127" s="7" t="n">
        <v>31597</v>
      </c>
      <c r="G127" s="7" t="n">
        <v>31597</v>
      </c>
      <c r="H127" s="5" t="s">
        <v>27</v>
      </c>
      <c r="I127" s="8" t="s">
        <v>28</v>
      </c>
      <c r="K127" s="5" t="s">
        <v>112</v>
      </c>
      <c r="L127" s="5" t="s">
        <v>30</v>
      </c>
      <c r="M127" s="10" t="s">
        <v>49</v>
      </c>
      <c r="N127" s="10" t="s">
        <v>32</v>
      </c>
      <c r="O127" s="10" t="s">
        <v>448</v>
      </c>
      <c r="P127" s="10" t="s">
        <v>34</v>
      </c>
      <c r="Q127" s="10" t="s">
        <v>35</v>
      </c>
      <c r="R127" s="10" t="s">
        <v>36</v>
      </c>
      <c r="S127" s="11" t="s">
        <v>37</v>
      </c>
      <c r="T127" s="11" t="s">
        <v>37</v>
      </c>
      <c r="U127" s="11" t="s">
        <v>37</v>
      </c>
      <c r="V127" s="1" t="s">
        <v>499</v>
      </c>
      <c r="W127" s="10" t="s">
        <v>39</v>
      </c>
      <c r="X127" s="10" t="s">
        <v>39</v>
      </c>
    </row>
    <row r="128" customFormat="false" ht="15" hidden="false" customHeight="false" outlineLevel="0" collapsed="false">
      <c r="A128" s="5" t="s">
        <v>500</v>
      </c>
      <c r="B128" s="5" t="s">
        <v>501</v>
      </c>
      <c r="C128" s="5" t="s">
        <v>26</v>
      </c>
      <c r="D128" s="6" t="str">
        <f aca="false">VLOOKUP(B128,[3]master!$b$6:$V$252,21,0)</f>
        <v>7874389536</v>
      </c>
      <c r="F128" s="7" t="n">
        <v>37167</v>
      </c>
      <c r="G128" s="7" t="n">
        <v>37167</v>
      </c>
      <c r="H128" s="5" t="s">
        <v>47</v>
      </c>
      <c r="I128" s="8" t="s">
        <v>28</v>
      </c>
      <c r="K128" s="5" t="s">
        <v>112</v>
      </c>
      <c r="L128" s="5" t="s">
        <v>30</v>
      </c>
      <c r="M128" s="10" t="s">
        <v>363</v>
      </c>
      <c r="N128" s="10" t="s">
        <v>32</v>
      </c>
      <c r="O128" s="10" t="s">
        <v>469</v>
      </c>
      <c r="P128" s="10" t="s">
        <v>34</v>
      </c>
      <c r="Q128" s="10" t="s">
        <v>35</v>
      </c>
      <c r="R128" s="10" t="s">
        <v>36</v>
      </c>
      <c r="S128" s="11" t="s">
        <v>37</v>
      </c>
      <c r="T128" s="11" t="s">
        <v>37</v>
      </c>
      <c r="U128" s="11" t="s">
        <v>37</v>
      </c>
      <c r="V128" s="1" t="s">
        <v>502</v>
      </c>
      <c r="W128" s="10" t="s">
        <v>39</v>
      </c>
      <c r="X128" s="10" t="s">
        <v>39</v>
      </c>
    </row>
    <row r="129" customFormat="false" ht="15" hidden="false" customHeight="false" outlineLevel="0" collapsed="false">
      <c r="A129" s="5" t="s">
        <v>503</v>
      </c>
      <c r="B129" s="5" t="s">
        <v>504</v>
      </c>
      <c r="C129" s="5" t="s">
        <v>26</v>
      </c>
      <c r="D129" s="6" t="str">
        <f aca="false">VLOOKUP(B129,[3]master!$b$6:$V$252,21,0)</f>
        <v>9737060280</v>
      </c>
      <c r="F129" s="7" t="n">
        <v>33117</v>
      </c>
      <c r="G129" s="7" t="n">
        <v>33117</v>
      </c>
      <c r="H129" s="5" t="s">
        <v>54</v>
      </c>
      <c r="I129" s="8" t="s">
        <v>28</v>
      </c>
      <c r="K129" s="5" t="s">
        <v>112</v>
      </c>
      <c r="L129" s="5" t="s">
        <v>30</v>
      </c>
      <c r="M129" s="10" t="s">
        <v>49</v>
      </c>
      <c r="N129" s="10" t="s">
        <v>32</v>
      </c>
      <c r="O129" s="10" t="s">
        <v>505</v>
      </c>
      <c r="P129" s="10" t="s">
        <v>34</v>
      </c>
      <c r="Q129" s="10" t="s">
        <v>35</v>
      </c>
      <c r="R129" s="10" t="s">
        <v>36</v>
      </c>
      <c r="S129" s="11" t="s">
        <v>37</v>
      </c>
      <c r="T129" s="11" t="s">
        <v>37</v>
      </c>
      <c r="U129" s="11" t="s">
        <v>37</v>
      </c>
      <c r="V129" s="1" t="s">
        <v>506</v>
      </c>
      <c r="W129" s="10" t="s">
        <v>39</v>
      </c>
      <c r="X129" s="10" t="s">
        <v>39</v>
      </c>
    </row>
    <row r="130" customFormat="false" ht="15" hidden="false" customHeight="false" outlineLevel="0" collapsed="false">
      <c r="A130" s="5" t="s">
        <v>507</v>
      </c>
      <c r="B130" s="5" t="s">
        <v>508</v>
      </c>
      <c r="C130" s="5" t="s">
        <v>26</v>
      </c>
      <c r="D130" s="6" t="str">
        <f aca="false">VLOOKUP(B130,[3]master!$b$6:$V$252,21,0)</f>
        <v>7567616464</v>
      </c>
      <c r="F130" s="7" t="n">
        <v>33638</v>
      </c>
      <c r="G130" s="7" t="n">
        <v>33638</v>
      </c>
      <c r="H130" s="5" t="s">
        <v>136</v>
      </c>
      <c r="I130" s="8" t="s">
        <v>28</v>
      </c>
      <c r="K130" s="5" t="s">
        <v>112</v>
      </c>
      <c r="L130" s="5" t="s">
        <v>30</v>
      </c>
      <c r="M130" s="10" t="s">
        <v>215</v>
      </c>
      <c r="N130" s="10" t="s">
        <v>32</v>
      </c>
      <c r="O130" s="10" t="s">
        <v>114</v>
      </c>
      <c r="P130" s="10" t="s">
        <v>34</v>
      </c>
      <c r="Q130" s="10" t="s">
        <v>35</v>
      </c>
      <c r="R130" s="10" t="s">
        <v>36</v>
      </c>
      <c r="S130" s="11" t="s">
        <v>37</v>
      </c>
      <c r="T130" s="11" t="s">
        <v>37</v>
      </c>
      <c r="U130" s="11" t="s">
        <v>37</v>
      </c>
      <c r="V130" s="1" t="s">
        <v>509</v>
      </c>
      <c r="W130" s="10" t="s">
        <v>39</v>
      </c>
      <c r="X130" s="10" t="s">
        <v>39</v>
      </c>
    </row>
    <row r="131" customFormat="false" ht="15" hidden="false" customHeight="false" outlineLevel="0" collapsed="false">
      <c r="A131" s="5" t="s">
        <v>510</v>
      </c>
      <c r="B131" s="5" t="s">
        <v>511</v>
      </c>
      <c r="C131" s="5" t="s">
        <v>26</v>
      </c>
      <c r="D131" s="6" t="str">
        <f aca="false">VLOOKUP(B131,[3]master!$b$6:$V$252,21,0)</f>
        <v>8980712643</v>
      </c>
      <c r="F131" s="7" t="n">
        <v>34314</v>
      </c>
      <c r="G131" s="7" t="n">
        <v>34314</v>
      </c>
      <c r="H131" s="5" t="s">
        <v>47</v>
      </c>
      <c r="I131" s="8" t="s">
        <v>28</v>
      </c>
      <c r="K131" s="5" t="s">
        <v>112</v>
      </c>
      <c r="L131" s="5" t="s">
        <v>30</v>
      </c>
      <c r="M131" s="10" t="s">
        <v>303</v>
      </c>
      <c r="N131" s="10" t="s">
        <v>32</v>
      </c>
      <c r="O131" s="10" t="s">
        <v>512</v>
      </c>
      <c r="P131" s="10" t="s">
        <v>34</v>
      </c>
      <c r="Q131" s="10" t="s">
        <v>35</v>
      </c>
      <c r="R131" s="10" t="s">
        <v>36</v>
      </c>
      <c r="S131" s="11" t="s">
        <v>37</v>
      </c>
      <c r="T131" s="11" t="s">
        <v>37</v>
      </c>
      <c r="U131" s="11" t="s">
        <v>37</v>
      </c>
      <c r="V131" s="1" t="s">
        <v>513</v>
      </c>
      <c r="W131" s="10" t="s">
        <v>39</v>
      </c>
      <c r="X131" s="10" t="s">
        <v>39</v>
      </c>
    </row>
    <row r="132" customFormat="false" ht="15" hidden="false" customHeight="false" outlineLevel="0" collapsed="false">
      <c r="A132" s="5" t="s">
        <v>514</v>
      </c>
      <c r="B132" s="5" t="s">
        <v>515</v>
      </c>
      <c r="C132" s="5" t="s">
        <v>26</v>
      </c>
      <c r="D132" s="6" t="str">
        <f aca="false">VLOOKUP(B132,[3]master!$b$6:$V$252,21,0)</f>
        <v>8469233900</v>
      </c>
      <c r="F132" s="7" t="n">
        <v>34491</v>
      </c>
      <c r="G132" s="7" t="n">
        <v>34491</v>
      </c>
      <c r="H132" s="5" t="s">
        <v>27</v>
      </c>
      <c r="I132" s="8" t="s">
        <v>28</v>
      </c>
      <c r="K132" s="5" t="s">
        <v>112</v>
      </c>
      <c r="L132" s="5" t="s">
        <v>30</v>
      </c>
      <c r="M132" s="10" t="s">
        <v>49</v>
      </c>
      <c r="N132" s="10" t="s">
        <v>32</v>
      </c>
      <c r="O132" s="10" t="s">
        <v>516</v>
      </c>
      <c r="P132" s="10" t="s">
        <v>34</v>
      </c>
      <c r="Q132" s="10" t="s">
        <v>35</v>
      </c>
      <c r="R132" s="10" t="s">
        <v>36</v>
      </c>
      <c r="S132" s="11" t="s">
        <v>37</v>
      </c>
      <c r="T132" s="11" t="s">
        <v>37</v>
      </c>
      <c r="U132" s="11" t="s">
        <v>37</v>
      </c>
      <c r="V132" s="1" t="s">
        <v>517</v>
      </c>
      <c r="W132" s="10" t="s">
        <v>39</v>
      </c>
      <c r="X132" s="10" t="s">
        <v>39</v>
      </c>
    </row>
    <row r="133" customFormat="false" ht="15" hidden="false" customHeight="false" outlineLevel="0" collapsed="false">
      <c r="A133" s="5" t="s">
        <v>518</v>
      </c>
      <c r="B133" s="5" t="s">
        <v>519</v>
      </c>
      <c r="C133" s="5" t="s">
        <v>26</v>
      </c>
      <c r="D133" s="6" t="str">
        <f aca="false">VLOOKUP(B133,[3]master!$b$6:$V$252,21,0)</f>
        <v>9537666376</v>
      </c>
      <c r="F133" s="7" t="n">
        <v>31594</v>
      </c>
      <c r="G133" s="7" t="n">
        <v>31594</v>
      </c>
      <c r="H133" s="5" t="s">
        <v>27</v>
      </c>
      <c r="I133" s="8" t="s">
        <v>28</v>
      </c>
      <c r="K133" s="5" t="s">
        <v>112</v>
      </c>
      <c r="L133" s="5" t="s">
        <v>30</v>
      </c>
      <c r="M133" s="10" t="s">
        <v>313</v>
      </c>
      <c r="N133" s="10" t="s">
        <v>32</v>
      </c>
      <c r="O133" s="10" t="s">
        <v>199</v>
      </c>
      <c r="P133" s="10" t="s">
        <v>34</v>
      </c>
      <c r="Q133" s="10" t="s">
        <v>35</v>
      </c>
      <c r="R133" s="10" t="s">
        <v>36</v>
      </c>
      <c r="S133" s="11" t="s">
        <v>37</v>
      </c>
      <c r="T133" s="11" t="s">
        <v>37</v>
      </c>
      <c r="U133" s="11" t="s">
        <v>37</v>
      </c>
      <c r="V133" s="1" t="s">
        <v>520</v>
      </c>
      <c r="W133" s="10" t="s">
        <v>39</v>
      </c>
      <c r="X133" s="10" t="s">
        <v>39</v>
      </c>
    </row>
    <row r="134" customFormat="false" ht="15" hidden="false" customHeight="false" outlineLevel="0" collapsed="false">
      <c r="A134" s="5" t="s">
        <v>521</v>
      </c>
      <c r="B134" s="5" t="s">
        <v>522</v>
      </c>
      <c r="C134" s="5" t="s">
        <v>26</v>
      </c>
      <c r="D134" s="6" t="str">
        <f aca="false">VLOOKUP(B134,[3]master!$b$6:$V$252,21,0)</f>
        <v>9824781234</v>
      </c>
      <c r="F134" s="7" t="n">
        <v>35028</v>
      </c>
      <c r="G134" s="7" t="n">
        <v>35028</v>
      </c>
      <c r="H134" s="5" t="s">
        <v>27</v>
      </c>
      <c r="I134" s="8" t="s">
        <v>28</v>
      </c>
      <c r="K134" s="5" t="s">
        <v>112</v>
      </c>
      <c r="L134" s="5" t="s">
        <v>30</v>
      </c>
      <c r="M134" s="10" t="s">
        <v>303</v>
      </c>
      <c r="N134" s="10" t="s">
        <v>32</v>
      </c>
      <c r="O134" s="10" t="s">
        <v>59</v>
      </c>
      <c r="P134" s="10" t="s">
        <v>34</v>
      </c>
      <c r="Q134" s="10" t="s">
        <v>35</v>
      </c>
      <c r="R134" s="10" t="s">
        <v>36</v>
      </c>
      <c r="S134" s="11" t="s">
        <v>37</v>
      </c>
      <c r="T134" s="11" t="s">
        <v>37</v>
      </c>
      <c r="U134" s="11" t="s">
        <v>37</v>
      </c>
      <c r="V134" s="1" t="s">
        <v>523</v>
      </c>
      <c r="W134" s="10" t="s">
        <v>39</v>
      </c>
      <c r="X134" s="10" t="s">
        <v>39</v>
      </c>
    </row>
    <row r="135" customFormat="false" ht="15" hidden="false" customHeight="false" outlineLevel="0" collapsed="false">
      <c r="A135" s="5" t="s">
        <v>524</v>
      </c>
      <c r="B135" s="5" t="s">
        <v>525</v>
      </c>
      <c r="C135" s="5" t="s">
        <v>26</v>
      </c>
      <c r="D135" s="6" t="str">
        <f aca="false">VLOOKUP(B135,[3]master!$b$6:$V$252,21,0)</f>
        <v>9924718304</v>
      </c>
      <c r="F135" s="7" t="n">
        <v>31199</v>
      </c>
      <c r="G135" s="7" t="n">
        <v>31199</v>
      </c>
      <c r="H135" s="5" t="s">
        <v>47</v>
      </c>
      <c r="I135" s="8" t="s">
        <v>28</v>
      </c>
      <c r="K135" s="5" t="s">
        <v>112</v>
      </c>
      <c r="L135" s="5" t="s">
        <v>30</v>
      </c>
      <c r="M135" s="10" t="s">
        <v>142</v>
      </c>
      <c r="N135" s="10" t="s">
        <v>32</v>
      </c>
      <c r="O135" s="10" t="s">
        <v>132</v>
      </c>
      <c r="P135" s="10" t="s">
        <v>34</v>
      </c>
      <c r="Q135" s="10" t="s">
        <v>35</v>
      </c>
      <c r="R135" s="10" t="s">
        <v>36</v>
      </c>
      <c r="S135" s="11" t="s">
        <v>37</v>
      </c>
      <c r="T135" s="11" t="s">
        <v>37</v>
      </c>
      <c r="U135" s="11" t="s">
        <v>37</v>
      </c>
      <c r="V135" s="1" t="s">
        <v>526</v>
      </c>
      <c r="W135" s="10" t="s">
        <v>39</v>
      </c>
      <c r="X135" s="10" t="s">
        <v>39</v>
      </c>
    </row>
    <row r="136" customFormat="false" ht="15" hidden="false" customHeight="false" outlineLevel="0" collapsed="false">
      <c r="A136" s="5" t="s">
        <v>527</v>
      </c>
      <c r="B136" s="5" t="s">
        <v>528</v>
      </c>
      <c r="C136" s="5" t="s">
        <v>26</v>
      </c>
      <c r="D136" s="6" t="str">
        <f aca="false">VLOOKUP(B136,[3]master!$b$6:$V$252,21,0)</f>
        <v>9662775577</v>
      </c>
      <c r="F136" s="7" t="n">
        <v>35431</v>
      </c>
      <c r="G136" s="7" t="n">
        <v>35431</v>
      </c>
      <c r="H136" s="5" t="s">
        <v>47</v>
      </c>
      <c r="I136" s="8" t="s">
        <v>28</v>
      </c>
      <c r="K136" s="5" t="s">
        <v>112</v>
      </c>
      <c r="L136" s="5" t="s">
        <v>30</v>
      </c>
      <c r="M136" s="10" t="s">
        <v>150</v>
      </c>
      <c r="N136" s="10" t="s">
        <v>32</v>
      </c>
      <c r="O136" s="10" t="s">
        <v>529</v>
      </c>
      <c r="P136" s="10" t="s">
        <v>34</v>
      </c>
      <c r="Q136" s="10" t="s">
        <v>35</v>
      </c>
      <c r="R136" s="10" t="s">
        <v>36</v>
      </c>
      <c r="S136" s="11" t="s">
        <v>37</v>
      </c>
      <c r="T136" s="11" t="s">
        <v>37</v>
      </c>
      <c r="U136" s="11" t="s">
        <v>37</v>
      </c>
      <c r="V136" s="1" t="s">
        <v>530</v>
      </c>
      <c r="W136" s="10" t="s">
        <v>39</v>
      </c>
      <c r="X136" s="10" t="s">
        <v>39</v>
      </c>
    </row>
    <row r="137" customFormat="false" ht="15" hidden="false" customHeight="false" outlineLevel="0" collapsed="false">
      <c r="A137" s="5" t="s">
        <v>531</v>
      </c>
      <c r="B137" s="5" t="s">
        <v>532</v>
      </c>
      <c r="C137" s="5" t="s">
        <v>26</v>
      </c>
      <c r="D137" s="6" t="str">
        <f aca="false">VLOOKUP(B137,[3]master!$b$6:$V$252,21,0)</f>
        <v>9769838069</v>
      </c>
      <c r="F137" s="7" t="n">
        <v>27762</v>
      </c>
      <c r="G137" s="7" t="n">
        <v>27762</v>
      </c>
      <c r="H137" s="5" t="s">
        <v>136</v>
      </c>
      <c r="I137" s="8" t="s">
        <v>28</v>
      </c>
      <c r="K137" s="5" t="s">
        <v>112</v>
      </c>
      <c r="L137" s="5" t="s">
        <v>30</v>
      </c>
      <c r="M137" s="10" t="s">
        <v>355</v>
      </c>
      <c r="N137" s="10" t="s">
        <v>32</v>
      </c>
      <c r="O137" s="10" t="s">
        <v>533</v>
      </c>
      <c r="P137" s="10" t="s">
        <v>34</v>
      </c>
      <c r="Q137" s="10" t="s">
        <v>35</v>
      </c>
      <c r="R137" s="10" t="s">
        <v>36</v>
      </c>
      <c r="S137" s="11" t="s">
        <v>37</v>
      </c>
      <c r="T137" s="11" t="s">
        <v>37</v>
      </c>
      <c r="U137" s="11" t="s">
        <v>37</v>
      </c>
      <c r="V137" s="1" t="s">
        <v>534</v>
      </c>
      <c r="W137" s="10" t="s">
        <v>39</v>
      </c>
      <c r="X137" s="10" t="s">
        <v>39</v>
      </c>
    </row>
    <row r="138" customFormat="false" ht="15" hidden="false" customHeight="false" outlineLevel="0" collapsed="false">
      <c r="A138" s="5" t="s">
        <v>535</v>
      </c>
      <c r="B138" s="5" t="s">
        <v>536</v>
      </c>
      <c r="C138" s="5" t="s">
        <v>42</v>
      </c>
      <c r="D138" s="6" t="str">
        <f aca="false">VLOOKUP(B138,[3]master!$b$6:$V$252,21,0)</f>
        <v>8055485531</v>
      </c>
      <c r="F138" s="7" t="n">
        <v>26665</v>
      </c>
      <c r="G138" s="7" t="n">
        <v>26665</v>
      </c>
      <c r="H138" s="5" t="s">
        <v>136</v>
      </c>
      <c r="I138" s="8" t="s">
        <v>28</v>
      </c>
      <c r="K138" s="5" t="s">
        <v>112</v>
      </c>
      <c r="L138" s="5" t="s">
        <v>30</v>
      </c>
      <c r="M138" s="10" t="s">
        <v>70</v>
      </c>
      <c r="N138" s="10" t="s">
        <v>32</v>
      </c>
      <c r="O138" s="10" t="s">
        <v>71</v>
      </c>
      <c r="P138" s="10" t="s">
        <v>34</v>
      </c>
      <c r="Q138" s="10" t="s">
        <v>35</v>
      </c>
      <c r="R138" s="10" t="s">
        <v>36</v>
      </c>
      <c r="S138" s="11" t="s">
        <v>37</v>
      </c>
      <c r="T138" s="11" t="s">
        <v>37</v>
      </c>
      <c r="U138" s="11" t="s">
        <v>37</v>
      </c>
      <c r="V138" s="14" t="s">
        <v>537</v>
      </c>
      <c r="W138" s="10" t="s">
        <v>39</v>
      </c>
      <c r="X138" s="10" t="s">
        <v>39</v>
      </c>
    </row>
    <row r="139" customFormat="false" ht="15" hidden="false" customHeight="false" outlineLevel="0" collapsed="false">
      <c r="A139" s="5" t="s">
        <v>538</v>
      </c>
      <c r="B139" s="5" t="s">
        <v>539</v>
      </c>
      <c r="C139" s="5" t="s">
        <v>26</v>
      </c>
      <c r="D139" s="6" t="str">
        <f aca="false">VLOOKUP(B139,[3]master!$b$6:$V$252,21,0)</f>
        <v>9664996829</v>
      </c>
      <c r="F139" s="7" t="n">
        <v>31366</v>
      </c>
      <c r="G139" s="7" t="n">
        <v>31366</v>
      </c>
      <c r="H139" s="5" t="s">
        <v>47</v>
      </c>
      <c r="I139" s="8" t="s">
        <v>28</v>
      </c>
      <c r="K139" s="5" t="s">
        <v>112</v>
      </c>
      <c r="L139" s="5" t="s">
        <v>30</v>
      </c>
      <c r="M139" s="10" t="s">
        <v>355</v>
      </c>
      <c r="N139" s="10" t="s">
        <v>32</v>
      </c>
      <c r="O139" s="10" t="s">
        <v>533</v>
      </c>
      <c r="P139" s="10" t="s">
        <v>34</v>
      </c>
      <c r="Q139" s="10" t="s">
        <v>35</v>
      </c>
      <c r="R139" s="10" t="s">
        <v>36</v>
      </c>
      <c r="S139" s="11" t="s">
        <v>37</v>
      </c>
      <c r="T139" s="11" t="s">
        <v>37</v>
      </c>
      <c r="U139" s="11" t="s">
        <v>37</v>
      </c>
      <c r="V139" s="1" t="s">
        <v>540</v>
      </c>
      <c r="W139" s="10" t="s">
        <v>39</v>
      </c>
      <c r="X139" s="10" t="s">
        <v>39</v>
      </c>
    </row>
    <row r="140" customFormat="false" ht="15" hidden="false" customHeight="false" outlineLevel="0" collapsed="false">
      <c r="A140" s="5" t="s">
        <v>541</v>
      </c>
      <c r="B140" s="5" t="s">
        <v>542</v>
      </c>
      <c r="C140" s="5" t="s">
        <v>26</v>
      </c>
      <c r="D140" s="6" t="str">
        <f aca="false">VLOOKUP(B140,[3]master!$b$6:$V$252,21,0)</f>
        <v>9076172615</v>
      </c>
      <c r="F140" s="7" t="n">
        <v>28283</v>
      </c>
      <c r="G140" s="7" t="n">
        <v>28283</v>
      </c>
      <c r="H140" s="5" t="s">
        <v>136</v>
      </c>
      <c r="I140" s="8" t="s">
        <v>28</v>
      </c>
      <c r="K140" s="5" t="s">
        <v>112</v>
      </c>
      <c r="L140" s="5" t="s">
        <v>30</v>
      </c>
      <c r="M140" s="10" t="s">
        <v>150</v>
      </c>
      <c r="N140" s="10" t="s">
        <v>32</v>
      </c>
      <c r="O140" s="10" t="s">
        <v>89</v>
      </c>
      <c r="P140" s="10" t="s">
        <v>34</v>
      </c>
      <c r="Q140" s="10" t="s">
        <v>35</v>
      </c>
      <c r="R140" s="10" t="s">
        <v>36</v>
      </c>
      <c r="S140" s="11" t="s">
        <v>37</v>
      </c>
      <c r="T140" s="11" t="s">
        <v>37</v>
      </c>
      <c r="U140" s="11" t="s">
        <v>37</v>
      </c>
      <c r="V140" s="1" t="s">
        <v>543</v>
      </c>
      <c r="W140" s="10" t="s">
        <v>39</v>
      </c>
      <c r="X140" s="10" t="s">
        <v>39</v>
      </c>
    </row>
    <row r="141" customFormat="false" ht="15" hidden="false" customHeight="false" outlineLevel="0" collapsed="false">
      <c r="A141" s="5" t="s">
        <v>544</v>
      </c>
      <c r="B141" s="5" t="s">
        <v>545</v>
      </c>
      <c r="C141" s="5" t="s">
        <v>26</v>
      </c>
      <c r="D141" s="6" t="str">
        <f aca="false">VLOOKUP(B141,[3]master!$b$6:$V$252,21,0)</f>
        <v>8401684224</v>
      </c>
      <c r="F141" s="7" t="n">
        <v>22934</v>
      </c>
      <c r="G141" s="7" t="n">
        <v>22934</v>
      </c>
      <c r="H141" s="5" t="s">
        <v>27</v>
      </c>
      <c r="I141" s="8" t="s">
        <v>28</v>
      </c>
      <c r="K141" s="5" t="s">
        <v>112</v>
      </c>
      <c r="L141" s="5" t="s">
        <v>30</v>
      </c>
      <c r="M141" s="10" t="s">
        <v>313</v>
      </c>
      <c r="N141" s="10" t="s">
        <v>32</v>
      </c>
      <c r="O141" s="10" t="s">
        <v>435</v>
      </c>
      <c r="P141" s="10" t="s">
        <v>34</v>
      </c>
      <c r="Q141" s="10" t="s">
        <v>35</v>
      </c>
      <c r="R141" s="10" t="s">
        <v>36</v>
      </c>
      <c r="S141" s="11" t="s">
        <v>37</v>
      </c>
      <c r="T141" s="11" t="s">
        <v>37</v>
      </c>
      <c r="U141" s="11" t="s">
        <v>37</v>
      </c>
      <c r="V141" s="1" t="s">
        <v>546</v>
      </c>
      <c r="W141" s="10" t="s">
        <v>39</v>
      </c>
      <c r="X141" s="10" t="s">
        <v>39</v>
      </c>
    </row>
    <row r="142" customFormat="false" ht="15" hidden="false" customHeight="false" outlineLevel="0" collapsed="false">
      <c r="A142" s="5" t="s">
        <v>547</v>
      </c>
      <c r="B142" s="5" t="s">
        <v>548</v>
      </c>
      <c r="C142" s="5" t="s">
        <v>26</v>
      </c>
      <c r="D142" s="6" t="str">
        <f aca="false">VLOOKUP(B142,[3]master!$b$6:$V$252,21,0)</f>
        <v>8957991574</v>
      </c>
      <c r="F142" s="7" t="n">
        <v>37782</v>
      </c>
      <c r="G142" s="7" t="n">
        <v>37782</v>
      </c>
      <c r="H142" s="5" t="s">
        <v>136</v>
      </c>
      <c r="I142" s="8" t="s">
        <v>28</v>
      </c>
      <c r="K142" s="5" t="s">
        <v>112</v>
      </c>
      <c r="L142" s="5" t="s">
        <v>30</v>
      </c>
      <c r="M142" s="10" t="s">
        <v>146</v>
      </c>
      <c r="N142" s="10" t="s">
        <v>32</v>
      </c>
      <c r="O142" s="10" t="s">
        <v>155</v>
      </c>
      <c r="P142" s="10" t="s">
        <v>34</v>
      </c>
      <c r="Q142" s="10" t="s">
        <v>35</v>
      </c>
      <c r="R142" s="10" t="s">
        <v>36</v>
      </c>
      <c r="S142" s="11" t="s">
        <v>37</v>
      </c>
      <c r="T142" s="11" t="s">
        <v>37</v>
      </c>
      <c r="U142" s="11" t="s">
        <v>37</v>
      </c>
      <c r="V142" s="1" t="s">
        <v>549</v>
      </c>
      <c r="W142" s="10" t="s">
        <v>39</v>
      </c>
      <c r="X142" s="10" t="s">
        <v>39</v>
      </c>
    </row>
    <row r="143" customFormat="false" ht="15" hidden="false" customHeight="false" outlineLevel="0" collapsed="false">
      <c r="A143" s="5" t="s">
        <v>550</v>
      </c>
      <c r="B143" s="5" t="s">
        <v>551</v>
      </c>
      <c r="C143" s="5" t="s">
        <v>26</v>
      </c>
      <c r="D143" s="6" t="str">
        <f aca="false">VLOOKUP(B143,[3]master!$b$6:$V$252,21,0)</f>
        <v>8866222312</v>
      </c>
      <c r="F143" s="7" t="n">
        <v>32495</v>
      </c>
      <c r="G143" s="7" t="n">
        <v>32495</v>
      </c>
      <c r="H143" s="5" t="s">
        <v>27</v>
      </c>
      <c r="I143" s="8" t="s">
        <v>28</v>
      </c>
      <c r="K143" s="5" t="s">
        <v>112</v>
      </c>
      <c r="L143" s="5" t="s">
        <v>30</v>
      </c>
      <c r="M143" s="10" t="s">
        <v>552</v>
      </c>
      <c r="N143" s="10" t="s">
        <v>32</v>
      </c>
      <c r="O143" s="10" t="s">
        <v>199</v>
      </c>
      <c r="P143" s="10" t="s">
        <v>34</v>
      </c>
      <c r="Q143" s="10" t="s">
        <v>35</v>
      </c>
      <c r="R143" s="10" t="s">
        <v>36</v>
      </c>
      <c r="S143" s="11" t="s">
        <v>37</v>
      </c>
      <c r="T143" s="11" t="s">
        <v>37</v>
      </c>
      <c r="U143" s="11" t="s">
        <v>37</v>
      </c>
      <c r="V143" s="1" t="s">
        <v>553</v>
      </c>
      <c r="W143" s="10" t="s">
        <v>39</v>
      </c>
      <c r="X143" s="10" t="s">
        <v>39</v>
      </c>
    </row>
    <row r="144" customFormat="false" ht="15" hidden="false" customHeight="false" outlineLevel="0" collapsed="false">
      <c r="A144" s="5" t="s">
        <v>554</v>
      </c>
      <c r="B144" s="5" t="s">
        <v>555</v>
      </c>
      <c r="C144" s="5" t="s">
        <v>42</v>
      </c>
      <c r="D144" s="6" t="str">
        <f aca="false">VLOOKUP(B144,[3]master!$b$6:$V$252,21,0)</f>
        <v>9727872999</v>
      </c>
      <c r="F144" s="7" t="n">
        <v>26738</v>
      </c>
      <c r="G144" s="7" t="n">
        <v>26738</v>
      </c>
      <c r="H144" s="5" t="s">
        <v>136</v>
      </c>
      <c r="I144" s="8" t="s">
        <v>28</v>
      </c>
      <c r="K144" s="5" t="s">
        <v>112</v>
      </c>
      <c r="L144" s="5" t="s">
        <v>30</v>
      </c>
      <c r="M144" s="10" t="s">
        <v>70</v>
      </c>
      <c r="N144" s="10" t="s">
        <v>32</v>
      </c>
      <c r="O144" s="10" t="s">
        <v>105</v>
      </c>
      <c r="P144" s="10" t="s">
        <v>34</v>
      </c>
      <c r="Q144" s="10" t="s">
        <v>35</v>
      </c>
      <c r="R144" s="10" t="s">
        <v>36</v>
      </c>
      <c r="S144" s="11" t="s">
        <v>37</v>
      </c>
      <c r="T144" s="11" t="s">
        <v>37</v>
      </c>
      <c r="U144" s="11" t="s">
        <v>37</v>
      </c>
      <c r="V144" s="14" t="s">
        <v>556</v>
      </c>
      <c r="W144" s="10" t="s">
        <v>39</v>
      </c>
      <c r="X144" s="10" t="s">
        <v>39</v>
      </c>
    </row>
    <row r="145" customFormat="false" ht="15" hidden="false" customHeight="false" outlineLevel="0" collapsed="false">
      <c r="A145" s="5" t="s">
        <v>557</v>
      </c>
      <c r="B145" s="5" t="s">
        <v>558</v>
      </c>
      <c r="C145" s="5" t="s">
        <v>26</v>
      </c>
      <c r="D145" s="6" t="str">
        <f aca="false">VLOOKUP(B145,[3]master!$b$6:$V$252,21,0)</f>
        <v>9825390309</v>
      </c>
      <c r="F145" s="7" t="n">
        <v>26247</v>
      </c>
      <c r="G145" s="7" t="n">
        <v>26247</v>
      </c>
      <c r="H145" s="5" t="s">
        <v>54</v>
      </c>
      <c r="I145" s="8" t="s">
        <v>28</v>
      </c>
      <c r="K145" s="5" t="s">
        <v>112</v>
      </c>
      <c r="L145" s="5" t="s">
        <v>30</v>
      </c>
      <c r="M145" s="10" t="s">
        <v>70</v>
      </c>
      <c r="N145" s="10" t="s">
        <v>32</v>
      </c>
      <c r="O145" s="10" t="s">
        <v>559</v>
      </c>
      <c r="P145" s="10" t="s">
        <v>34</v>
      </c>
      <c r="Q145" s="10" t="s">
        <v>35</v>
      </c>
      <c r="R145" s="10" t="s">
        <v>36</v>
      </c>
      <c r="S145" s="11" t="s">
        <v>37</v>
      </c>
      <c r="T145" s="11" t="s">
        <v>37</v>
      </c>
      <c r="U145" s="11" t="s">
        <v>37</v>
      </c>
      <c r="V145" s="1" t="s">
        <v>560</v>
      </c>
      <c r="W145" s="10" t="s">
        <v>39</v>
      </c>
      <c r="X145" s="10" t="s">
        <v>39</v>
      </c>
    </row>
    <row r="146" customFormat="false" ht="15" hidden="false" customHeight="false" outlineLevel="0" collapsed="false">
      <c r="A146" s="5" t="s">
        <v>561</v>
      </c>
      <c r="B146" s="5" t="s">
        <v>562</v>
      </c>
      <c r="C146" s="5" t="s">
        <v>26</v>
      </c>
      <c r="D146" s="6" t="str">
        <f aca="false">VLOOKUP(B146,[3]master!$b$6:$V$252,21,0)</f>
        <v>7046136659</v>
      </c>
      <c r="F146" s="7" t="n">
        <v>34864</v>
      </c>
      <c r="G146" s="7" t="n">
        <v>34864</v>
      </c>
      <c r="H146" s="5" t="s">
        <v>136</v>
      </c>
      <c r="I146" s="8" t="s">
        <v>28</v>
      </c>
      <c r="K146" s="5" t="s">
        <v>112</v>
      </c>
      <c r="L146" s="5" t="s">
        <v>30</v>
      </c>
      <c r="M146" s="10" t="s">
        <v>113</v>
      </c>
      <c r="N146" s="10" t="s">
        <v>32</v>
      </c>
      <c r="O146" s="10" t="s">
        <v>269</v>
      </c>
      <c r="P146" s="10" t="s">
        <v>34</v>
      </c>
      <c r="Q146" s="10" t="s">
        <v>35</v>
      </c>
      <c r="R146" s="10" t="s">
        <v>36</v>
      </c>
      <c r="S146" s="11" t="s">
        <v>37</v>
      </c>
      <c r="T146" s="11" t="s">
        <v>37</v>
      </c>
      <c r="U146" s="11" t="s">
        <v>37</v>
      </c>
      <c r="V146" s="1" t="s">
        <v>563</v>
      </c>
      <c r="W146" s="10" t="s">
        <v>39</v>
      </c>
      <c r="X146" s="10" t="s">
        <v>39</v>
      </c>
    </row>
    <row r="147" customFormat="false" ht="15" hidden="false" customHeight="false" outlineLevel="0" collapsed="false">
      <c r="A147" s="5" t="s">
        <v>564</v>
      </c>
      <c r="B147" s="5" t="s">
        <v>565</v>
      </c>
      <c r="C147" s="5" t="s">
        <v>26</v>
      </c>
      <c r="D147" s="6" t="str">
        <f aca="false">VLOOKUP(B147,[3]master!$b$6:$V$252,21,0)</f>
        <v>9879831734</v>
      </c>
      <c r="F147" s="7" t="n">
        <v>28603</v>
      </c>
      <c r="G147" s="7" t="n">
        <v>28603</v>
      </c>
      <c r="H147" s="5" t="s">
        <v>136</v>
      </c>
      <c r="I147" s="8" t="s">
        <v>28</v>
      </c>
      <c r="K147" s="5" t="s">
        <v>112</v>
      </c>
      <c r="L147" s="5" t="s">
        <v>30</v>
      </c>
      <c r="M147" s="10" t="s">
        <v>317</v>
      </c>
      <c r="N147" s="10" t="s">
        <v>32</v>
      </c>
      <c r="O147" s="10" t="s">
        <v>435</v>
      </c>
      <c r="P147" s="10" t="s">
        <v>34</v>
      </c>
      <c r="Q147" s="10" t="s">
        <v>35</v>
      </c>
      <c r="R147" s="10" t="s">
        <v>36</v>
      </c>
      <c r="S147" s="11" t="s">
        <v>37</v>
      </c>
      <c r="T147" s="11" t="s">
        <v>37</v>
      </c>
      <c r="U147" s="11" t="s">
        <v>37</v>
      </c>
      <c r="V147" s="1" t="s">
        <v>566</v>
      </c>
      <c r="W147" s="10" t="s">
        <v>39</v>
      </c>
      <c r="X147" s="10" t="s">
        <v>39</v>
      </c>
    </row>
    <row r="148" customFormat="false" ht="15" hidden="false" customHeight="false" outlineLevel="0" collapsed="false">
      <c r="A148" s="5" t="s">
        <v>567</v>
      </c>
      <c r="B148" s="5" t="s">
        <v>568</v>
      </c>
      <c r="C148" s="5" t="s">
        <v>26</v>
      </c>
      <c r="D148" s="6" t="str">
        <f aca="false">VLOOKUP(B148,[3]master!$b$6:$V$252,21,0)</f>
        <v>7567032299</v>
      </c>
      <c r="F148" s="7" t="n">
        <v>31339</v>
      </c>
      <c r="G148" s="7" t="n">
        <v>31339</v>
      </c>
      <c r="H148" s="5" t="s">
        <v>27</v>
      </c>
      <c r="I148" s="8" t="s">
        <v>28</v>
      </c>
      <c r="K148" s="5" t="s">
        <v>112</v>
      </c>
      <c r="L148" s="5" t="s">
        <v>30</v>
      </c>
      <c r="M148" s="10" t="s">
        <v>317</v>
      </c>
      <c r="N148" s="10" t="s">
        <v>32</v>
      </c>
      <c r="O148" s="10" t="s">
        <v>435</v>
      </c>
      <c r="P148" s="10" t="s">
        <v>34</v>
      </c>
      <c r="Q148" s="10" t="s">
        <v>35</v>
      </c>
      <c r="R148" s="10" t="s">
        <v>36</v>
      </c>
      <c r="S148" s="11" t="s">
        <v>37</v>
      </c>
      <c r="T148" s="11" t="s">
        <v>37</v>
      </c>
      <c r="U148" s="11" t="s">
        <v>37</v>
      </c>
      <c r="V148" s="1" t="s">
        <v>569</v>
      </c>
      <c r="W148" s="10" t="s">
        <v>39</v>
      </c>
      <c r="X148" s="10" t="s">
        <v>39</v>
      </c>
    </row>
    <row r="149" customFormat="false" ht="15" hidden="false" customHeight="false" outlineLevel="0" collapsed="false">
      <c r="A149" s="5" t="s">
        <v>570</v>
      </c>
      <c r="B149" s="5" t="s">
        <v>571</v>
      </c>
      <c r="C149" s="5" t="s">
        <v>26</v>
      </c>
      <c r="D149" s="6" t="str">
        <f aca="false">VLOOKUP(B149,[3]master!$b$6:$V$252,21,0)</f>
        <v>7874034139</v>
      </c>
      <c r="F149" s="7" t="n">
        <v>35688</v>
      </c>
      <c r="G149" s="7" t="n">
        <v>35688</v>
      </c>
      <c r="H149" s="5" t="s">
        <v>27</v>
      </c>
      <c r="I149" s="8" t="s">
        <v>28</v>
      </c>
      <c r="K149" s="5" t="s">
        <v>112</v>
      </c>
      <c r="L149" s="5" t="s">
        <v>30</v>
      </c>
      <c r="M149" s="10" t="s">
        <v>303</v>
      </c>
      <c r="N149" s="10" t="s">
        <v>32</v>
      </c>
      <c r="O149" s="10" t="s">
        <v>572</v>
      </c>
      <c r="P149" s="10" t="s">
        <v>34</v>
      </c>
      <c r="Q149" s="10" t="s">
        <v>35</v>
      </c>
      <c r="R149" s="10" t="s">
        <v>36</v>
      </c>
      <c r="S149" s="11" t="s">
        <v>37</v>
      </c>
      <c r="T149" s="11" t="s">
        <v>37</v>
      </c>
      <c r="U149" s="11" t="s">
        <v>37</v>
      </c>
      <c r="V149" s="1" t="s">
        <v>573</v>
      </c>
      <c r="W149" s="10" t="s">
        <v>39</v>
      </c>
      <c r="X149" s="10" t="s">
        <v>39</v>
      </c>
    </row>
    <row r="150" customFormat="false" ht="15" hidden="false" customHeight="false" outlineLevel="0" collapsed="false">
      <c r="A150" s="5" t="s">
        <v>574</v>
      </c>
      <c r="B150" s="5" t="s">
        <v>575</v>
      </c>
      <c r="C150" s="5" t="s">
        <v>26</v>
      </c>
      <c r="D150" s="6" t="str">
        <f aca="false">VLOOKUP(B150,[3]master!$b$6:$V$252,21,0)</f>
        <v>9316485925</v>
      </c>
      <c r="F150" s="7" t="n">
        <v>33151</v>
      </c>
      <c r="G150" s="7" t="n">
        <v>33151</v>
      </c>
      <c r="H150" s="5" t="s">
        <v>27</v>
      </c>
      <c r="I150" s="8" t="s">
        <v>28</v>
      </c>
      <c r="K150" s="5" t="s">
        <v>112</v>
      </c>
      <c r="L150" s="5" t="s">
        <v>30</v>
      </c>
      <c r="M150" s="10" t="s">
        <v>146</v>
      </c>
      <c r="N150" s="10" t="s">
        <v>32</v>
      </c>
      <c r="O150" s="10" t="s">
        <v>132</v>
      </c>
      <c r="P150" s="10" t="s">
        <v>34</v>
      </c>
      <c r="Q150" s="10" t="s">
        <v>35</v>
      </c>
      <c r="R150" s="10" t="s">
        <v>36</v>
      </c>
      <c r="S150" s="11" t="s">
        <v>37</v>
      </c>
      <c r="T150" s="11" t="s">
        <v>37</v>
      </c>
      <c r="U150" s="11" t="s">
        <v>37</v>
      </c>
      <c r="V150" s="1" t="s">
        <v>576</v>
      </c>
      <c r="W150" s="10" t="s">
        <v>39</v>
      </c>
      <c r="X150" s="10" t="s">
        <v>39</v>
      </c>
    </row>
    <row r="151" customFormat="false" ht="15" hidden="false" customHeight="false" outlineLevel="0" collapsed="false">
      <c r="A151" s="5" t="s">
        <v>577</v>
      </c>
      <c r="B151" s="5" t="s">
        <v>578</v>
      </c>
      <c r="C151" s="5" t="s">
        <v>26</v>
      </c>
      <c r="D151" s="6" t="str">
        <f aca="false">VLOOKUP(B151,[3]master!$b$6:$V$252,21,0)</f>
        <v>9879898897</v>
      </c>
      <c r="F151" s="7" t="n">
        <v>34093</v>
      </c>
      <c r="G151" s="7" t="n">
        <v>34093</v>
      </c>
      <c r="H151" s="5" t="s">
        <v>27</v>
      </c>
      <c r="I151" s="8" t="s">
        <v>28</v>
      </c>
      <c r="K151" s="5" t="s">
        <v>112</v>
      </c>
      <c r="L151" s="5" t="s">
        <v>30</v>
      </c>
      <c r="M151" s="10" t="s">
        <v>49</v>
      </c>
      <c r="N151" s="10" t="s">
        <v>32</v>
      </c>
      <c r="O151" s="10" t="s">
        <v>579</v>
      </c>
      <c r="P151" s="10" t="s">
        <v>34</v>
      </c>
      <c r="Q151" s="10" t="s">
        <v>35</v>
      </c>
      <c r="R151" s="10" t="s">
        <v>36</v>
      </c>
      <c r="S151" s="11" t="s">
        <v>37</v>
      </c>
      <c r="T151" s="11" t="s">
        <v>37</v>
      </c>
      <c r="U151" s="11" t="s">
        <v>37</v>
      </c>
      <c r="V151" s="1" t="s">
        <v>580</v>
      </c>
      <c r="W151" s="10" t="s">
        <v>39</v>
      </c>
      <c r="X151" s="10" t="s">
        <v>39</v>
      </c>
    </row>
    <row r="152" customFormat="false" ht="15" hidden="false" customHeight="false" outlineLevel="0" collapsed="false">
      <c r="A152" s="5" t="s">
        <v>581</v>
      </c>
      <c r="B152" s="5" t="s">
        <v>582</v>
      </c>
      <c r="C152" s="5" t="s">
        <v>26</v>
      </c>
      <c r="D152" s="6" t="str">
        <f aca="false">VLOOKUP(B152,[3]master!$b$6:$V$252,21,0)</f>
        <v>9843237709</v>
      </c>
      <c r="F152" s="7" t="n">
        <v>35401</v>
      </c>
      <c r="G152" s="7" t="n">
        <v>35401</v>
      </c>
      <c r="H152" s="5" t="s">
        <v>27</v>
      </c>
      <c r="I152" s="8" t="s">
        <v>28</v>
      </c>
      <c r="K152" s="5" t="s">
        <v>112</v>
      </c>
      <c r="L152" s="5" t="s">
        <v>30</v>
      </c>
      <c r="M152" s="10" t="s">
        <v>455</v>
      </c>
      <c r="N152" s="10" t="s">
        <v>32</v>
      </c>
      <c r="O152" s="10" t="s">
        <v>583</v>
      </c>
      <c r="P152" s="10" t="s">
        <v>34</v>
      </c>
      <c r="Q152" s="10" t="s">
        <v>35</v>
      </c>
      <c r="R152" s="10" t="s">
        <v>36</v>
      </c>
      <c r="S152" s="11" t="s">
        <v>37</v>
      </c>
      <c r="T152" s="11" t="s">
        <v>37</v>
      </c>
      <c r="U152" s="11" t="s">
        <v>37</v>
      </c>
      <c r="V152" s="1" t="s">
        <v>584</v>
      </c>
      <c r="W152" s="10" t="s">
        <v>39</v>
      </c>
      <c r="X152" s="10" t="s">
        <v>39</v>
      </c>
    </row>
    <row r="153" customFormat="false" ht="15" hidden="false" customHeight="false" outlineLevel="0" collapsed="false">
      <c r="A153" s="5" t="s">
        <v>585</v>
      </c>
      <c r="B153" s="5" t="s">
        <v>586</v>
      </c>
      <c r="C153" s="5" t="s">
        <v>26</v>
      </c>
      <c r="D153" s="6" t="str">
        <f aca="false">VLOOKUP(B153,[3]master!$b$6:$V$252,21,0)</f>
        <v>9373225029</v>
      </c>
      <c r="F153" s="7" t="n">
        <v>35230</v>
      </c>
      <c r="G153" s="7" t="n">
        <v>35230</v>
      </c>
      <c r="H153" s="5" t="s">
        <v>27</v>
      </c>
      <c r="I153" s="8" t="s">
        <v>28</v>
      </c>
      <c r="K153" s="5" t="s">
        <v>112</v>
      </c>
      <c r="L153" s="5" t="s">
        <v>30</v>
      </c>
      <c r="M153" s="10" t="s">
        <v>455</v>
      </c>
      <c r="N153" s="10" t="s">
        <v>32</v>
      </c>
      <c r="O153" s="10" t="s">
        <v>583</v>
      </c>
      <c r="P153" s="10" t="s">
        <v>34</v>
      </c>
      <c r="Q153" s="10" t="s">
        <v>35</v>
      </c>
      <c r="R153" s="10" t="s">
        <v>36</v>
      </c>
      <c r="S153" s="11" t="s">
        <v>37</v>
      </c>
      <c r="T153" s="11" t="s">
        <v>37</v>
      </c>
      <c r="U153" s="11" t="s">
        <v>37</v>
      </c>
      <c r="V153" s="1" t="s">
        <v>587</v>
      </c>
      <c r="W153" s="10" t="s">
        <v>39</v>
      </c>
      <c r="X153" s="10" t="s">
        <v>39</v>
      </c>
    </row>
    <row r="154" customFormat="false" ht="15" hidden="false" customHeight="false" outlineLevel="0" collapsed="false">
      <c r="A154" s="5" t="s">
        <v>588</v>
      </c>
      <c r="B154" s="5" t="s">
        <v>589</v>
      </c>
      <c r="C154" s="5" t="s">
        <v>26</v>
      </c>
      <c r="D154" s="6" t="str">
        <f aca="false">VLOOKUP(B154,[3]master!$b$6:$V$252,21,0)</f>
        <v>9130390536</v>
      </c>
      <c r="F154" s="7" t="n">
        <v>36267</v>
      </c>
      <c r="G154" s="7" t="n">
        <v>36267</v>
      </c>
      <c r="H154" s="5" t="s">
        <v>27</v>
      </c>
      <c r="I154" s="8" t="s">
        <v>28</v>
      </c>
      <c r="K154" s="5" t="s">
        <v>112</v>
      </c>
      <c r="L154" s="5" t="s">
        <v>30</v>
      </c>
      <c r="M154" s="10" t="s">
        <v>455</v>
      </c>
      <c r="N154" s="10" t="s">
        <v>32</v>
      </c>
      <c r="O154" s="10" t="s">
        <v>590</v>
      </c>
      <c r="P154" s="10" t="s">
        <v>34</v>
      </c>
      <c r="Q154" s="10" t="s">
        <v>35</v>
      </c>
      <c r="R154" s="10" t="s">
        <v>36</v>
      </c>
      <c r="S154" s="11" t="s">
        <v>37</v>
      </c>
      <c r="T154" s="11" t="s">
        <v>37</v>
      </c>
      <c r="U154" s="11" t="s">
        <v>37</v>
      </c>
      <c r="V154" s="1" t="s">
        <v>591</v>
      </c>
      <c r="W154" s="10" t="s">
        <v>39</v>
      </c>
      <c r="X154" s="10" t="s">
        <v>39</v>
      </c>
    </row>
    <row r="155" customFormat="false" ht="15" hidden="false" customHeight="false" outlineLevel="0" collapsed="false">
      <c r="A155" s="5" t="s">
        <v>592</v>
      </c>
      <c r="B155" s="5" t="s">
        <v>593</v>
      </c>
      <c r="C155" s="5" t="s">
        <v>26</v>
      </c>
      <c r="D155" s="6" t="str">
        <f aca="false">VLOOKUP(B155,[3]master!$b$6:$V$252,21,0)</f>
        <v>8866853897</v>
      </c>
      <c r="F155" s="7" t="n">
        <v>30103</v>
      </c>
      <c r="G155" s="7" t="n">
        <v>30103</v>
      </c>
      <c r="H155" s="5" t="s">
        <v>47</v>
      </c>
      <c r="I155" s="8" t="s">
        <v>28</v>
      </c>
      <c r="K155" s="5" t="s">
        <v>112</v>
      </c>
      <c r="L155" s="5" t="s">
        <v>30</v>
      </c>
      <c r="M155" s="10" t="s">
        <v>49</v>
      </c>
      <c r="N155" s="10" t="s">
        <v>32</v>
      </c>
      <c r="O155" s="10" t="s">
        <v>594</v>
      </c>
      <c r="P155" s="10" t="s">
        <v>34</v>
      </c>
      <c r="Q155" s="10" t="s">
        <v>35</v>
      </c>
      <c r="R155" s="10" t="s">
        <v>36</v>
      </c>
      <c r="S155" s="11" t="s">
        <v>37</v>
      </c>
      <c r="T155" s="11" t="s">
        <v>37</v>
      </c>
      <c r="U155" s="11" t="s">
        <v>37</v>
      </c>
      <c r="V155" s="1" t="s">
        <v>595</v>
      </c>
      <c r="W155" s="10" t="s">
        <v>39</v>
      </c>
      <c r="X155" s="10" t="s">
        <v>39</v>
      </c>
    </row>
    <row r="156" customFormat="false" ht="15" hidden="false" customHeight="false" outlineLevel="0" collapsed="false">
      <c r="A156" s="5" t="s">
        <v>596</v>
      </c>
      <c r="B156" s="5" t="s">
        <v>597</v>
      </c>
      <c r="C156" s="5" t="s">
        <v>26</v>
      </c>
      <c r="D156" s="6" t="str">
        <f aca="false">VLOOKUP(B156,[3]master!$b$6:$V$252,21,0)</f>
        <v>9737789101</v>
      </c>
      <c r="F156" s="7" t="n">
        <v>35686</v>
      </c>
      <c r="G156" s="7" t="n">
        <v>35686</v>
      </c>
      <c r="H156" s="5" t="s">
        <v>47</v>
      </c>
      <c r="I156" s="8" t="s">
        <v>28</v>
      </c>
      <c r="K156" s="5" t="s">
        <v>112</v>
      </c>
      <c r="L156" s="5" t="s">
        <v>30</v>
      </c>
      <c r="M156" s="10" t="s">
        <v>485</v>
      </c>
      <c r="N156" s="10" t="s">
        <v>32</v>
      </c>
      <c r="O156" s="10" t="s">
        <v>598</v>
      </c>
      <c r="P156" s="10" t="s">
        <v>34</v>
      </c>
      <c r="Q156" s="10" t="s">
        <v>35</v>
      </c>
      <c r="R156" s="10" t="s">
        <v>36</v>
      </c>
      <c r="S156" s="11" t="s">
        <v>37</v>
      </c>
      <c r="T156" s="11" t="s">
        <v>37</v>
      </c>
      <c r="U156" s="11" t="s">
        <v>37</v>
      </c>
      <c r="V156" s="1" t="s">
        <v>599</v>
      </c>
      <c r="W156" s="10" t="s">
        <v>39</v>
      </c>
      <c r="X156" s="10" t="s">
        <v>39</v>
      </c>
    </row>
    <row r="157" customFormat="false" ht="15" hidden="false" customHeight="false" outlineLevel="0" collapsed="false">
      <c r="A157" s="5" t="s">
        <v>600</v>
      </c>
      <c r="B157" s="5" t="s">
        <v>601</v>
      </c>
      <c r="C157" s="5" t="s">
        <v>26</v>
      </c>
      <c r="D157" s="6" t="str">
        <f aca="false">VLOOKUP(B157,[3]master!$b$6:$V$252,21,0)</f>
        <v>8693066097</v>
      </c>
      <c r="F157" s="7" t="n">
        <v>32862</v>
      </c>
      <c r="G157" s="7" t="n">
        <v>32862</v>
      </c>
      <c r="H157" s="5" t="s">
        <v>47</v>
      </c>
      <c r="I157" s="8" t="s">
        <v>28</v>
      </c>
      <c r="K157" s="5" t="s">
        <v>112</v>
      </c>
      <c r="L157" s="5" t="s">
        <v>30</v>
      </c>
      <c r="M157" s="10" t="s">
        <v>123</v>
      </c>
      <c r="N157" s="10" t="s">
        <v>32</v>
      </c>
      <c r="O157" s="10" t="s">
        <v>175</v>
      </c>
      <c r="P157" s="10" t="s">
        <v>34</v>
      </c>
      <c r="Q157" s="10" t="s">
        <v>35</v>
      </c>
      <c r="R157" s="10" t="s">
        <v>36</v>
      </c>
      <c r="S157" s="11" t="s">
        <v>37</v>
      </c>
      <c r="T157" s="11" t="s">
        <v>37</v>
      </c>
      <c r="U157" s="11" t="s">
        <v>37</v>
      </c>
      <c r="V157" s="1" t="s">
        <v>602</v>
      </c>
      <c r="W157" s="10" t="s">
        <v>39</v>
      </c>
      <c r="X157" s="10" t="s">
        <v>39</v>
      </c>
    </row>
    <row r="158" customFormat="false" ht="15" hidden="false" customHeight="false" outlineLevel="0" collapsed="false">
      <c r="A158" s="5" t="s">
        <v>603</v>
      </c>
      <c r="B158" s="5" t="s">
        <v>604</v>
      </c>
      <c r="C158" s="5" t="s">
        <v>26</v>
      </c>
      <c r="D158" s="6" t="str">
        <f aca="false">VLOOKUP(B158,[3]master!$b$6:$V$252,21,0)</f>
        <v>7905810515</v>
      </c>
      <c r="F158" s="7" t="n">
        <v>35419</v>
      </c>
      <c r="G158" s="7" t="n">
        <v>35419</v>
      </c>
      <c r="H158" s="5" t="s">
        <v>47</v>
      </c>
      <c r="I158" s="8" t="s">
        <v>28</v>
      </c>
      <c r="K158" s="5" t="s">
        <v>112</v>
      </c>
      <c r="L158" s="5" t="s">
        <v>30</v>
      </c>
      <c r="M158" s="10" t="s">
        <v>455</v>
      </c>
      <c r="N158" s="10" t="s">
        <v>32</v>
      </c>
      <c r="O158" s="10" t="s">
        <v>605</v>
      </c>
      <c r="P158" s="10" t="s">
        <v>34</v>
      </c>
      <c r="Q158" s="10" t="s">
        <v>35</v>
      </c>
      <c r="R158" s="10" t="s">
        <v>36</v>
      </c>
      <c r="S158" s="11" t="s">
        <v>37</v>
      </c>
      <c r="T158" s="11" t="s">
        <v>37</v>
      </c>
      <c r="U158" s="11" t="s">
        <v>37</v>
      </c>
      <c r="V158" s="1" t="s">
        <v>606</v>
      </c>
      <c r="W158" s="10" t="s">
        <v>39</v>
      </c>
      <c r="X158" s="10" t="s">
        <v>39</v>
      </c>
    </row>
    <row r="159" customFormat="false" ht="15" hidden="false" customHeight="false" outlineLevel="0" collapsed="false">
      <c r="A159" s="5" t="s">
        <v>607</v>
      </c>
      <c r="B159" s="5" t="s">
        <v>608</v>
      </c>
      <c r="C159" s="5" t="s">
        <v>26</v>
      </c>
      <c r="D159" s="6" t="str">
        <f aca="false">VLOOKUP(B159,[3]master!$b$6:$V$252,21,0)</f>
        <v>7016052348</v>
      </c>
      <c r="F159" s="7" t="n">
        <v>34328</v>
      </c>
      <c r="G159" s="7" t="n">
        <v>34328</v>
      </c>
      <c r="H159" s="5" t="s">
        <v>47</v>
      </c>
      <c r="I159" s="8" t="s">
        <v>28</v>
      </c>
      <c r="K159" s="5" t="s">
        <v>112</v>
      </c>
      <c r="L159" s="5" t="s">
        <v>30</v>
      </c>
      <c r="M159" s="10" t="s">
        <v>455</v>
      </c>
      <c r="N159" s="10" t="s">
        <v>32</v>
      </c>
      <c r="O159" s="10" t="s">
        <v>590</v>
      </c>
      <c r="P159" s="10" t="s">
        <v>34</v>
      </c>
      <c r="Q159" s="10" t="s">
        <v>35</v>
      </c>
      <c r="R159" s="10" t="s">
        <v>36</v>
      </c>
      <c r="S159" s="11" t="s">
        <v>37</v>
      </c>
      <c r="T159" s="11" t="s">
        <v>37</v>
      </c>
      <c r="U159" s="11" t="s">
        <v>37</v>
      </c>
      <c r="V159" s="1" t="s">
        <v>609</v>
      </c>
      <c r="W159" s="10" t="s">
        <v>39</v>
      </c>
      <c r="X159" s="10" t="s">
        <v>39</v>
      </c>
    </row>
    <row r="160" customFormat="false" ht="15" hidden="false" customHeight="false" outlineLevel="0" collapsed="false">
      <c r="A160" s="5" t="s">
        <v>610</v>
      </c>
      <c r="B160" s="5" t="s">
        <v>611</v>
      </c>
      <c r="C160" s="5" t="s">
        <v>42</v>
      </c>
      <c r="D160" s="6" t="str">
        <f aca="false">VLOOKUP(B160,[3]master!$b$6:$V$252,21,0)</f>
        <v>6353631239</v>
      </c>
      <c r="F160" s="7" t="n">
        <v>34089</v>
      </c>
      <c r="G160" s="7" t="n">
        <v>34089</v>
      </c>
      <c r="H160" s="5" t="s">
        <v>54</v>
      </c>
      <c r="I160" s="8" t="s">
        <v>28</v>
      </c>
      <c r="K160" s="5" t="s">
        <v>112</v>
      </c>
      <c r="L160" s="5" t="s">
        <v>30</v>
      </c>
      <c r="M160" s="10" t="s">
        <v>612</v>
      </c>
      <c r="N160" s="10" t="s">
        <v>32</v>
      </c>
      <c r="O160" s="10" t="s">
        <v>613</v>
      </c>
      <c r="P160" s="10" t="s">
        <v>34</v>
      </c>
      <c r="Q160" s="10" t="s">
        <v>35</v>
      </c>
      <c r="R160" s="10" t="s">
        <v>36</v>
      </c>
      <c r="S160" s="11" t="s">
        <v>37</v>
      </c>
      <c r="T160" s="11" t="s">
        <v>37</v>
      </c>
      <c r="U160" s="11" t="s">
        <v>37</v>
      </c>
      <c r="V160" s="1" t="s">
        <v>614</v>
      </c>
      <c r="W160" s="10" t="s">
        <v>39</v>
      </c>
      <c r="X160" s="10" t="s">
        <v>39</v>
      </c>
    </row>
    <row r="161" customFormat="false" ht="15" hidden="false" customHeight="false" outlineLevel="0" collapsed="false">
      <c r="A161" s="5" t="s">
        <v>615</v>
      </c>
      <c r="B161" s="5" t="s">
        <v>616</v>
      </c>
      <c r="C161" s="5" t="s">
        <v>26</v>
      </c>
      <c r="D161" s="6" t="str">
        <f aca="false">VLOOKUP(B161,[3]master!$b$6:$V$252,21,0)</f>
        <v>9974846167</v>
      </c>
      <c r="F161" s="7" t="n">
        <v>34161</v>
      </c>
      <c r="G161" s="7" t="n">
        <v>34161</v>
      </c>
      <c r="H161" s="5" t="s">
        <v>47</v>
      </c>
      <c r="I161" s="8" t="s">
        <v>28</v>
      </c>
      <c r="K161" s="5" t="s">
        <v>112</v>
      </c>
      <c r="L161" s="5" t="s">
        <v>30</v>
      </c>
      <c r="M161" s="10" t="s">
        <v>142</v>
      </c>
      <c r="N161" s="10" t="s">
        <v>32</v>
      </c>
      <c r="O161" s="10" t="s">
        <v>132</v>
      </c>
      <c r="P161" s="10" t="s">
        <v>34</v>
      </c>
      <c r="Q161" s="10" t="s">
        <v>35</v>
      </c>
      <c r="R161" s="10" t="s">
        <v>36</v>
      </c>
      <c r="S161" s="11" t="s">
        <v>37</v>
      </c>
      <c r="T161" s="11" t="s">
        <v>37</v>
      </c>
      <c r="U161" s="11" t="s">
        <v>37</v>
      </c>
      <c r="V161" s="1" t="s">
        <v>617</v>
      </c>
      <c r="W161" s="10" t="s">
        <v>39</v>
      </c>
      <c r="X161" s="10" t="s">
        <v>39</v>
      </c>
    </row>
    <row r="162" customFormat="false" ht="15" hidden="false" customHeight="false" outlineLevel="0" collapsed="false">
      <c r="A162" s="5" t="s">
        <v>618</v>
      </c>
      <c r="B162" s="5" t="s">
        <v>619</v>
      </c>
      <c r="C162" s="5" t="s">
        <v>26</v>
      </c>
      <c r="D162" s="6" t="str">
        <f aca="false">VLOOKUP(B162,[3]master!$b$6:$V$252,21,0)</f>
        <v>8081082805</v>
      </c>
      <c r="F162" s="7" t="n">
        <v>31308</v>
      </c>
      <c r="G162" s="7" t="n">
        <v>31308</v>
      </c>
      <c r="H162" s="5" t="s">
        <v>47</v>
      </c>
      <c r="I162" s="8" t="s">
        <v>28</v>
      </c>
      <c r="K162" s="5" t="s">
        <v>112</v>
      </c>
      <c r="L162" s="5" t="s">
        <v>30</v>
      </c>
      <c r="M162" s="10" t="s">
        <v>150</v>
      </c>
      <c r="N162" s="10" t="s">
        <v>32</v>
      </c>
      <c r="O162" s="10" t="s">
        <v>529</v>
      </c>
      <c r="P162" s="10" t="s">
        <v>34</v>
      </c>
      <c r="Q162" s="10" t="s">
        <v>35</v>
      </c>
      <c r="R162" s="10" t="s">
        <v>36</v>
      </c>
      <c r="S162" s="11" t="s">
        <v>37</v>
      </c>
      <c r="T162" s="11" t="s">
        <v>37</v>
      </c>
      <c r="U162" s="11" t="s">
        <v>37</v>
      </c>
      <c r="V162" s="1" t="s">
        <v>620</v>
      </c>
      <c r="W162" s="10" t="s">
        <v>39</v>
      </c>
      <c r="X162" s="10" t="s">
        <v>39</v>
      </c>
    </row>
    <row r="163" customFormat="false" ht="15" hidden="false" customHeight="false" outlineLevel="0" collapsed="false">
      <c r="A163" s="5" t="s">
        <v>621</v>
      </c>
      <c r="B163" s="5" t="s">
        <v>622</v>
      </c>
      <c r="C163" s="5" t="s">
        <v>26</v>
      </c>
      <c r="D163" s="6" t="str">
        <f aca="false">VLOOKUP(B163,[3]master!$b$6:$V$252,21,0)</f>
        <v>9555035936</v>
      </c>
      <c r="F163" s="7" t="n">
        <v>36287</v>
      </c>
      <c r="G163" s="7" t="n">
        <v>36287</v>
      </c>
      <c r="H163" s="5" t="s">
        <v>47</v>
      </c>
      <c r="I163" s="8" t="s">
        <v>28</v>
      </c>
      <c r="K163" s="5" t="s">
        <v>112</v>
      </c>
      <c r="L163" s="5" t="s">
        <v>30</v>
      </c>
      <c r="M163" s="10" t="s">
        <v>70</v>
      </c>
      <c r="N163" s="10" t="s">
        <v>32</v>
      </c>
      <c r="O163" s="10" t="s">
        <v>529</v>
      </c>
      <c r="P163" s="10" t="s">
        <v>34</v>
      </c>
      <c r="Q163" s="10" t="s">
        <v>35</v>
      </c>
      <c r="R163" s="10" t="s">
        <v>36</v>
      </c>
      <c r="S163" s="11" t="s">
        <v>37</v>
      </c>
      <c r="T163" s="11" t="s">
        <v>37</v>
      </c>
      <c r="U163" s="11" t="s">
        <v>37</v>
      </c>
      <c r="V163" s="1" t="s">
        <v>623</v>
      </c>
      <c r="W163" s="10" t="s">
        <v>39</v>
      </c>
      <c r="X163" s="10" t="s">
        <v>39</v>
      </c>
    </row>
    <row r="164" customFormat="false" ht="15" hidden="false" customHeight="false" outlineLevel="0" collapsed="false">
      <c r="A164" s="5" t="s">
        <v>624</v>
      </c>
      <c r="B164" s="5" t="s">
        <v>625</v>
      </c>
      <c r="C164" s="5" t="s">
        <v>26</v>
      </c>
      <c r="D164" s="6" t="str">
        <f aca="false">VLOOKUP(B164,[3]master!$b$6:$V$252,21,0)</f>
        <v>8440985238</v>
      </c>
      <c r="F164" s="7" t="n">
        <v>36568</v>
      </c>
      <c r="G164" s="7" t="n">
        <v>36568</v>
      </c>
      <c r="H164" s="5" t="s">
        <v>47</v>
      </c>
      <c r="I164" s="8" t="s">
        <v>28</v>
      </c>
      <c r="K164" s="5" t="s">
        <v>112</v>
      </c>
      <c r="L164" s="5" t="s">
        <v>30</v>
      </c>
      <c r="M164" s="10" t="s">
        <v>455</v>
      </c>
      <c r="N164" s="10" t="s">
        <v>32</v>
      </c>
      <c r="O164" s="10" t="s">
        <v>626</v>
      </c>
      <c r="P164" s="10" t="s">
        <v>34</v>
      </c>
      <c r="Q164" s="10" t="s">
        <v>35</v>
      </c>
      <c r="R164" s="10" t="s">
        <v>36</v>
      </c>
      <c r="S164" s="11" t="s">
        <v>37</v>
      </c>
      <c r="T164" s="11" t="s">
        <v>37</v>
      </c>
      <c r="U164" s="11" t="s">
        <v>37</v>
      </c>
      <c r="V164" s="1" t="s">
        <v>627</v>
      </c>
      <c r="W164" s="10" t="s">
        <v>39</v>
      </c>
      <c r="X164" s="10" t="s">
        <v>39</v>
      </c>
    </row>
    <row r="165" customFormat="false" ht="15" hidden="false" customHeight="false" outlineLevel="0" collapsed="false">
      <c r="A165" s="5" t="s">
        <v>628</v>
      </c>
      <c r="B165" s="5" t="s">
        <v>629</v>
      </c>
      <c r="C165" s="5" t="s">
        <v>26</v>
      </c>
      <c r="D165" s="6" t="str">
        <f aca="false">VLOOKUP(B165,[3]master!$b$6:$V$252,21,0)</f>
        <v>9673146844</v>
      </c>
      <c r="F165" s="7" t="n">
        <v>31536</v>
      </c>
      <c r="G165" s="7" t="n">
        <v>31536</v>
      </c>
      <c r="H165" s="5" t="s">
        <v>47</v>
      </c>
      <c r="I165" s="8" t="s">
        <v>28</v>
      </c>
      <c r="K165" s="5" t="s">
        <v>112</v>
      </c>
      <c r="L165" s="5" t="s">
        <v>30</v>
      </c>
      <c r="M165" s="10" t="s">
        <v>630</v>
      </c>
      <c r="N165" s="10" t="s">
        <v>32</v>
      </c>
      <c r="O165" s="10" t="s">
        <v>329</v>
      </c>
      <c r="P165" s="10" t="s">
        <v>34</v>
      </c>
      <c r="Q165" s="10" t="s">
        <v>35</v>
      </c>
      <c r="R165" s="10" t="s">
        <v>36</v>
      </c>
      <c r="S165" s="11" t="s">
        <v>37</v>
      </c>
      <c r="T165" s="11" t="s">
        <v>37</v>
      </c>
      <c r="U165" s="11" t="s">
        <v>37</v>
      </c>
      <c r="V165" s="1" t="s">
        <v>631</v>
      </c>
      <c r="W165" s="10" t="s">
        <v>39</v>
      </c>
      <c r="X165" s="10" t="s">
        <v>39</v>
      </c>
    </row>
    <row r="166" customFormat="false" ht="15" hidden="false" customHeight="false" outlineLevel="0" collapsed="false">
      <c r="A166" s="5" t="s">
        <v>632</v>
      </c>
      <c r="B166" s="5" t="s">
        <v>633</v>
      </c>
      <c r="C166" s="5" t="s">
        <v>26</v>
      </c>
      <c r="D166" s="6" t="str">
        <f aca="false">VLOOKUP(B166,[2]sheet0!$a$3:$D$241,4,0)</f>
        <v>9510943334</v>
      </c>
      <c r="F166" s="7" t="n">
        <v>36186</v>
      </c>
      <c r="G166" s="7" t="n">
        <v>36186</v>
      </c>
      <c r="H166" s="5" t="s">
        <v>54</v>
      </c>
      <c r="I166" s="8" t="s">
        <v>28</v>
      </c>
      <c r="K166" s="5" t="s">
        <v>112</v>
      </c>
      <c r="L166" s="5" t="s">
        <v>30</v>
      </c>
      <c r="M166" s="10" t="s">
        <v>455</v>
      </c>
      <c r="N166" s="10" t="s">
        <v>32</v>
      </c>
      <c r="O166" s="10" t="s">
        <v>605</v>
      </c>
      <c r="P166" s="10" t="s">
        <v>34</v>
      </c>
      <c r="Q166" s="10" t="s">
        <v>35</v>
      </c>
      <c r="R166" s="10" t="s">
        <v>36</v>
      </c>
      <c r="S166" s="11" t="s">
        <v>37</v>
      </c>
      <c r="T166" s="11" t="s">
        <v>37</v>
      </c>
      <c r="U166" s="11" t="s">
        <v>37</v>
      </c>
      <c r="V166" s="1" t="s">
        <v>634</v>
      </c>
      <c r="W166" s="10" t="s">
        <v>39</v>
      </c>
      <c r="X166" s="10" t="s">
        <v>39</v>
      </c>
    </row>
    <row r="167" customFormat="false" ht="15" hidden="false" customHeight="false" outlineLevel="0" collapsed="false">
      <c r="A167" s="5" t="s">
        <v>635</v>
      </c>
      <c r="B167" s="5" t="s">
        <v>636</v>
      </c>
      <c r="C167" s="5" t="s">
        <v>26</v>
      </c>
      <c r="D167" s="6" t="str">
        <f aca="false">VLOOKUP(B167,[3]master!$b$6:$V$252,21,0)</f>
        <v>9558899714</v>
      </c>
      <c r="F167" s="7" t="n">
        <v>34529</v>
      </c>
      <c r="G167" s="7" t="n">
        <v>34529</v>
      </c>
      <c r="H167" s="5" t="s">
        <v>54</v>
      </c>
      <c r="I167" s="8" t="s">
        <v>28</v>
      </c>
      <c r="K167" s="5" t="s">
        <v>112</v>
      </c>
      <c r="L167" s="5" t="s">
        <v>30</v>
      </c>
      <c r="M167" s="10" t="s">
        <v>118</v>
      </c>
      <c r="N167" s="10" t="s">
        <v>32</v>
      </c>
      <c r="O167" s="10" t="s">
        <v>356</v>
      </c>
      <c r="P167" s="10" t="s">
        <v>34</v>
      </c>
      <c r="Q167" s="10" t="s">
        <v>35</v>
      </c>
      <c r="R167" s="10" t="s">
        <v>36</v>
      </c>
      <c r="S167" s="11" t="s">
        <v>37</v>
      </c>
      <c r="T167" s="11" t="s">
        <v>37</v>
      </c>
      <c r="U167" s="11" t="s">
        <v>37</v>
      </c>
      <c r="V167" s="1" t="s">
        <v>637</v>
      </c>
      <c r="W167" s="10" t="s">
        <v>39</v>
      </c>
      <c r="X167" s="10" t="s">
        <v>39</v>
      </c>
    </row>
    <row r="168" customFormat="false" ht="15" hidden="false" customHeight="false" outlineLevel="0" collapsed="false">
      <c r="A168" s="5" t="s">
        <v>638</v>
      </c>
      <c r="B168" s="5" t="s">
        <v>639</v>
      </c>
      <c r="C168" s="5" t="s">
        <v>42</v>
      </c>
      <c r="D168" s="6" t="str">
        <f aca="false">VLOOKUP(B168,[3]master!$b$6:$V$252,21,0)</f>
        <v>7862865871</v>
      </c>
      <c r="F168" s="7" t="n">
        <v>30711</v>
      </c>
      <c r="G168" s="7" t="n">
        <v>30711</v>
      </c>
      <c r="H168" s="5" t="s">
        <v>54</v>
      </c>
      <c r="I168" s="8" t="s">
        <v>28</v>
      </c>
      <c r="K168" s="5" t="s">
        <v>112</v>
      </c>
      <c r="L168" s="5" t="s">
        <v>30</v>
      </c>
      <c r="M168" s="10" t="s">
        <v>640</v>
      </c>
      <c r="N168" s="10" t="s">
        <v>32</v>
      </c>
      <c r="O168" s="10" t="s">
        <v>641</v>
      </c>
      <c r="P168" s="10" t="s">
        <v>34</v>
      </c>
      <c r="Q168" s="10" t="s">
        <v>35</v>
      </c>
      <c r="R168" s="10" t="s">
        <v>36</v>
      </c>
      <c r="S168" s="11" t="s">
        <v>37</v>
      </c>
      <c r="T168" s="11" t="s">
        <v>37</v>
      </c>
      <c r="U168" s="11" t="s">
        <v>37</v>
      </c>
      <c r="V168" s="1" t="s">
        <v>642</v>
      </c>
      <c r="W168" s="10" t="s">
        <v>39</v>
      </c>
      <c r="X168" s="10" t="s">
        <v>39</v>
      </c>
    </row>
    <row r="169" customFormat="false" ht="15" hidden="false" customHeight="false" outlineLevel="0" collapsed="false">
      <c r="A169" s="5" t="s">
        <v>643</v>
      </c>
      <c r="B169" s="5" t="s">
        <v>644</v>
      </c>
      <c r="C169" s="5" t="s">
        <v>26</v>
      </c>
      <c r="D169" s="6" t="str">
        <f aca="false">VLOOKUP(B169,[3]master!$b$6:$V$252,21,0)</f>
        <v>9925804222</v>
      </c>
      <c r="F169" s="7" t="n">
        <v>30844</v>
      </c>
      <c r="G169" s="7" t="n">
        <v>30844</v>
      </c>
      <c r="H169" s="5" t="s">
        <v>27</v>
      </c>
      <c r="I169" s="8" t="s">
        <v>28</v>
      </c>
      <c r="K169" s="5" t="s">
        <v>112</v>
      </c>
      <c r="L169" s="5" t="s">
        <v>30</v>
      </c>
      <c r="M169" s="10" t="s">
        <v>645</v>
      </c>
      <c r="N169" s="10" t="s">
        <v>32</v>
      </c>
      <c r="O169" s="10" t="s">
        <v>646</v>
      </c>
      <c r="P169" s="10" t="s">
        <v>34</v>
      </c>
      <c r="Q169" s="10" t="s">
        <v>35</v>
      </c>
      <c r="R169" s="10" t="s">
        <v>36</v>
      </c>
      <c r="S169" s="11" t="s">
        <v>37</v>
      </c>
      <c r="T169" s="11" t="s">
        <v>37</v>
      </c>
      <c r="U169" s="11" t="s">
        <v>37</v>
      </c>
      <c r="V169" s="1" t="s">
        <v>647</v>
      </c>
      <c r="W169" s="10" t="s">
        <v>39</v>
      </c>
      <c r="X169" s="10" t="s">
        <v>39</v>
      </c>
    </row>
    <row r="170" customFormat="false" ht="15" hidden="false" customHeight="false" outlineLevel="0" collapsed="false">
      <c r="A170" s="5" t="s">
        <v>648</v>
      </c>
      <c r="B170" s="5" t="s">
        <v>649</v>
      </c>
      <c r="C170" s="5" t="s">
        <v>42</v>
      </c>
      <c r="D170" s="6" t="str">
        <f aca="false">VLOOKUP(B170,[2]sheet0!$a$3:$D$241,4,0)</f>
        <v>6359375024</v>
      </c>
      <c r="F170" s="7" t="n">
        <v>34865</v>
      </c>
      <c r="G170" s="7" t="n">
        <v>34865</v>
      </c>
      <c r="H170" s="5" t="s">
        <v>136</v>
      </c>
      <c r="I170" s="8" t="s">
        <v>28</v>
      </c>
      <c r="K170" s="5" t="s">
        <v>112</v>
      </c>
      <c r="L170" s="5" t="s">
        <v>30</v>
      </c>
      <c r="M170" s="10" t="s">
        <v>118</v>
      </c>
      <c r="N170" s="10" t="s">
        <v>32</v>
      </c>
      <c r="O170" s="10" t="s">
        <v>650</v>
      </c>
      <c r="P170" s="10" t="s">
        <v>34</v>
      </c>
      <c r="Q170" s="10" t="s">
        <v>35</v>
      </c>
      <c r="R170" s="10" t="s">
        <v>36</v>
      </c>
      <c r="S170" s="11" t="s">
        <v>37</v>
      </c>
      <c r="T170" s="11" t="s">
        <v>37</v>
      </c>
      <c r="U170" s="11" t="s">
        <v>37</v>
      </c>
      <c r="V170" s="1" t="s">
        <v>651</v>
      </c>
      <c r="W170" s="10" t="s">
        <v>39</v>
      </c>
      <c r="X170" s="10" t="s">
        <v>39</v>
      </c>
    </row>
    <row r="171" customFormat="false" ht="15" hidden="false" customHeight="false" outlineLevel="0" collapsed="false">
      <c r="A171" s="5" t="s">
        <v>652</v>
      </c>
      <c r="B171" s="5" t="s">
        <v>653</v>
      </c>
      <c r="C171" s="5" t="s">
        <v>26</v>
      </c>
      <c r="D171" s="6" t="str">
        <f aca="false">VLOOKUP(B171,[2]sheet0!$a$3:$D$241,4,0)</f>
        <v>9033706455</v>
      </c>
      <c r="F171" s="7" t="n">
        <v>28116</v>
      </c>
      <c r="G171" s="7" t="n">
        <v>28116</v>
      </c>
      <c r="H171" s="5" t="s">
        <v>136</v>
      </c>
      <c r="I171" s="8" t="s">
        <v>28</v>
      </c>
      <c r="K171" s="5" t="s">
        <v>112</v>
      </c>
      <c r="L171" s="5" t="s">
        <v>30</v>
      </c>
      <c r="M171" s="10" t="s">
        <v>313</v>
      </c>
      <c r="N171" s="10" t="s">
        <v>32</v>
      </c>
      <c r="O171" s="10" t="s">
        <v>199</v>
      </c>
      <c r="P171" s="10" t="s">
        <v>34</v>
      </c>
      <c r="Q171" s="10" t="s">
        <v>35</v>
      </c>
      <c r="R171" s="10" t="s">
        <v>36</v>
      </c>
      <c r="S171" s="11" t="s">
        <v>37</v>
      </c>
      <c r="T171" s="11" t="s">
        <v>37</v>
      </c>
      <c r="U171" s="11" t="s">
        <v>37</v>
      </c>
      <c r="V171" s="1" t="s">
        <v>654</v>
      </c>
      <c r="W171" s="10" t="s">
        <v>39</v>
      </c>
      <c r="X171" s="10" t="s">
        <v>39</v>
      </c>
    </row>
    <row r="172" customFormat="false" ht="15" hidden="false" customHeight="false" outlineLevel="0" collapsed="false">
      <c r="A172" s="5" t="s">
        <v>655</v>
      </c>
      <c r="B172" s="5" t="s">
        <v>656</v>
      </c>
      <c r="C172" s="5" t="s">
        <v>26</v>
      </c>
      <c r="D172" s="6" t="str">
        <f aca="false">VLOOKUP(B172,[2]sheet0!$a$3:$D$241,4,0)</f>
        <v>9016331873</v>
      </c>
      <c r="F172" s="7" t="n">
        <v>35864</v>
      </c>
      <c r="G172" s="7" t="n">
        <v>35864</v>
      </c>
      <c r="H172" s="5" t="s">
        <v>136</v>
      </c>
      <c r="I172" s="8" t="s">
        <v>28</v>
      </c>
      <c r="K172" s="5" t="s">
        <v>112</v>
      </c>
      <c r="L172" s="5" t="s">
        <v>30</v>
      </c>
      <c r="M172" s="10" t="s">
        <v>49</v>
      </c>
      <c r="N172" s="10" t="s">
        <v>32</v>
      </c>
      <c r="O172" s="10" t="s">
        <v>657</v>
      </c>
      <c r="P172" s="10" t="s">
        <v>34</v>
      </c>
      <c r="Q172" s="10" t="s">
        <v>35</v>
      </c>
      <c r="R172" s="10" t="s">
        <v>36</v>
      </c>
      <c r="S172" s="11" t="s">
        <v>37</v>
      </c>
      <c r="T172" s="11" t="s">
        <v>37</v>
      </c>
      <c r="U172" s="11" t="s">
        <v>37</v>
      </c>
      <c r="V172" s="1" t="s">
        <v>658</v>
      </c>
      <c r="W172" s="10" t="s">
        <v>39</v>
      </c>
      <c r="X172" s="10" t="s">
        <v>39</v>
      </c>
    </row>
    <row r="173" customFormat="false" ht="15" hidden="false" customHeight="false" outlineLevel="0" collapsed="false">
      <c r="A173" s="5" t="s">
        <v>659</v>
      </c>
      <c r="B173" s="5" t="s">
        <v>660</v>
      </c>
      <c r="C173" s="5" t="s">
        <v>26</v>
      </c>
      <c r="D173" s="6" t="str">
        <f aca="false">VLOOKUP(B173,[2]sheet0!$a$3:$D$241,4,0)</f>
        <v>7906849950</v>
      </c>
      <c r="F173" s="7" t="n">
        <v>36501</v>
      </c>
      <c r="G173" s="7" t="n">
        <v>36501</v>
      </c>
      <c r="H173" s="5" t="s">
        <v>136</v>
      </c>
      <c r="I173" s="8" t="s">
        <v>28</v>
      </c>
      <c r="K173" s="5" t="s">
        <v>112</v>
      </c>
      <c r="L173" s="5" t="s">
        <v>30</v>
      </c>
      <c r="M173" s="10" t="s">
        <v>49</v>
      </c>
      <c r="N173" s="10" t="s">
        <v>32</v>
      </c>
      <c r="O173" s="10" t="s">
        <v>59</v>
      </c>
      <c r="P173" s="10" t="s">
        <v>34</v>
      </c>
      <c r="Q173" s="10" t="s">
        <v>35</v>
      </c>
      <c r="R173" s="10" t="s">
        <v>36</v>
      </c>
      <c r="S173" s="11" t="s">
        <v>37</v>
      </c>
      <c r="T173" s="11" t="s">
        <v>37</v>
      </c>
      <c r="U173" s="11" t="s">
        <v>37</v>
      </c>
      <c r="V173" s="1" t="s">
        <v>661</v>
      </c>
      <c r="W173" s="10" t="s">
        <v>39</v>
      </c>
      <c r="X173" s="10" t="s">
        <v>39</v>
      </c>
    </row>
    <row r="174" customFormat="false" ht="15" hidden="false" customHeight="false" outlineLevel="0" collapsed="false">
      <c r="A174" s="5" t="s">
        <v>662</v>
      </c>
      <c r="B174" s="5" t="s">
        <v>663</v>
      </c>
      <c r="C174" s="5" t="s">
        <v>42</v>
      </c>
      <c r="D174" s="6" t="str">
        <f aca="false">VLOOKUP(B174,[2]sheet0!$a$3:$D$241,4,0)</f>
        <v>9327811579</v>
      </c>
      <c r="F174" s="7" t="n">
        <v>30866</v>
      </c>
      <c r="G174" s="7" t="n">
        <v>30866</v>
      </c>
      <c r="H174" s="5" t="s">
        <v>136</v>
      </c>
      <c r="I174" s="8" t="s">
        <v>28</v>
      </c>
      <c r="K174" s="5" t="s">
        <v>112</v>
      </c>
      <c r="L174" s="5" t="s">
        <v>30</v>
      </c>
      <c r="M174" s="10" t="s">
        <v>75</v>
      </c>
      <c r="N174" s="10" t="s">
        <v>32</v>
      </c>
      <c r="O174" s="10" t="s">
        <v>71</v>
      </c>
      <c r="P174" s="10" t="s">
        <v>34</v>
      </c>
      <c r="Q174" s="10" t="s">
        <v>35</v>
      </c>
      <c r="R174" s="10" t="s">
        <v>36</v>
      </c>
      <c r="S174" s="11" t="s">
        <v>37</v>
      </c>
      <c r="T174" s="11" t="s">
        <v>37</v>
      </c>
      <c r="U174" s="11" t="s">
        <v>37</v>
      </c>
      <c r="V174" s="14" t="s">
        <v>664</v>
      </c>
      <c r="W174" s="10" t="s">
        <v>39</v>
      </c>
      <c r="X174" s="10" t="s">
        <v>39</v>
      </c>
    </row>
    <row r="175" customFormat="false" ht="15" hidden="false" customHeight="false" outlineLevel="0" collapsed="false">
      <c r="A175" s="5" t="s">
        <v>665</v>
      </c>
      <c r="B175" s="5" t="s">
        <v>666</v>
      </c>
      <c r="C175" s="5" t="s">
        <v>26</v>
      </c>
      <c r="D175" s="6" t="str">
        <f aca="false">VLOOKUP(B175,[2]sheet0!$a$3:$D$241,4,0)</f>
        <v>9106527741</v>
      </c>
      <c r="F175" s="7" t="n">
        <v>36223</v>
      </c>
      <c r="G175" s="7" t="n">
        <v>36223</v>
      </c>
      <c r="H175" s="5" t="s">
        <v>47</v>
      </c>
      <c r="I175" s="8" t="s">
        <v>28</v>
      </c>
      <c r="K175" s="5" t="s">
        <v>112</v>
      </c>
      <c r="L175" s="5" t="s">
        <v>30</v>
      </c>
      <c r="M175" s="10" t="s">
        <v>113</v>
      </c>
      <c r="N175" s="10" t="s">
        <v>32</v>
      </c>
      <c r="O175" s="10" t="s">
        <v>269</v>
      </c>
      <c r="P175" s="10" t="s">
        <v>34</v>
      </c>
      <c r="Q175" s="10" t="s">
        <v>35</v>
      </c>
      <c r="R175" s="10" t="s">
        <v>36</v>
      </c>
      <c r="S175" s="11" t="s">
        <v>37</v>
      </c>
      <c r="T175" s="11" t="s">
        <v>37</v>
      </c>
      <c r="U175" s="11" t="s">
        <v>37</v>
      </c>
      <c r="V175" s="14" t="s">
        <v>667</v>
      </c>
      <c r="W175" s="10" t="s">
        <v>39</v>
      </c>
      <c r="X175" s="10" t="s">
        <v>39</v>
      </c>
    </row>
    <row r="176" customFormat="false" ht="15" hidden="false" customHeight="false" outlineLevel="0" collapsed="false">
      <c r="A176" s="5" t="s">
        <v>668</v>
      </c>
      <c r="B176" s="5" t="s">
        <v>669</v>
      </c>
      <c r="C176" s="5" t="s">
        <v>26</v>
      </c>
      <c r="D176" s="6" t="str">
        <f aca="false">VLOOKUP(B176,[2]sheet0!$a$3:$D$241,4,0)</f>
        <v>9173029900</v>
      </c>
      <c r="F176" s="7" t="n">
        <v>36281</v>
      </c>
      <c r="G176" s="7" t="n">
        <v>36281</v>
      </c>
      <c r="H176" s="5" t="s">
        <v>27</v>
      </c>
      <c r="I176" s="8" t="s">
        <v>28</v>
      </c>
      <c r="K176" s="5" t="s">
        <v>112</v>
      </c>
      <c r="L176" s="5" t="s">
        <v>30</v>
      </c>
      <c r="M176" s="10" t="s">
        <v>70</v>
      </c>
      <c r="N176" s="10" t="s">
        <v>32</v>
      </c>
      <c r="O176" s="10" t="s">
        <v>670</v>
      </c>
      <c r="P176" s="10" t="s">
        <v>34</v>
      </c>
      <c r="Q176" s="10" t="s">
        <v>35</v>
      </c>
      <c r="R176" s="10" t="s">
        <v>36</v>
      </c>
      <c r="S176" s="11" t="s">
        <v>37</v>
      </c>
      <c r="T176" s="11" t="s">
        <v>37</v>
      </c>
      <c r="U176" s="11" t="s">
        <v>37</v>
      </c>
      <c r="V176" s="1" t="s">
        <v>671</v>
      </c>
      <c r="W176" s="10" t="s">
        <v>39</v>
      </c>
      <c r="X176" s="10" t="s">
        <v>39</v>
      </c>
    </row>
    <row r="177" customFormat="false" ht="15" hidden="false" customHeight="false" outlineLevel="0" collapsed="false">
      <c r="A177" s="5" t="s">
        <v>672</v>
      </c>
      <c r="B177" s="5" t="s">
        <v>673</v>
      </c>
      <c r="C177" s="5" t="s">
        <v>26</v>
      </c>
      <c r="D177" s="6" t="str">
        <f aca="false">VLOOKUP(B177,[2]sheet0!$a$3:$D$241,4,0)</f>
        <v>7405594533</v>
      </c>
      <c r="F177" s="7" t="n">
        <v>35093</v>
      </c>
      <c r="G177" s="7" t="n">
        <v>35093</v>
      </c>
      <c r="H177" s="5" t="s">
        <v>27</v>
      </c>
      <c r="I177" s="8" t="s">
        <v>28</v>
      </c>
      <c r="K177" s="5" t="s">
        <v>112</v>
      </c>
      <c r="L177" s="5" t="s">
        <v>30</v>
      </c>
      <c r="M177" s="10" t="s">
        <v>70</v>
      </c>
      <c r="N177" s="10" t="s">
        <v>32</v>
      </c>
      <c r="O177" s="10" t="s">
        <v>674</v>
      </c>
      <c r="P177" s="10" t="s">
        <v>34</v>
      </c>
      <c r="Q177" s="10" t="s">
        <v>35</v>
      </c>
      <c r="R177" s="10" t="s">
        <v>36</v>
      </c>
      <c r="S177" s="11" t="s">
        <v>37</v>
      </c>
      <c r="T177" s="11" t="s">
        <v>37</v>
      </c>
      <c r="U177" s="11" t="s">
        <v>37</v>
      </c>
      <c r="V177" s="1" t="s">
        <v>675</v>
      </c>
      <c r="W177" s="10" t="s">
        <v>39</v>
      </c>
      <c r="X177" s="10" t="s">
        <v>39</v>
      </c>
    </row>
    <row r="178" customFormat="false" ht="15" hidden="false" customHeight="false" outlineLevel="0" collapsed="false">
      <c r="A178" s="5" t="s">
        <v>676</v>
      </c>
      <c r="B178" s="5" t="s">
        <v>677</v>
      </c>
      <c r="C178" s="5" t="s">
        <v>26</v>
      </c>
      <c r="D178" s="6" t="str">
        <f aca="false">VLOOKUP(B178,[2]sheet0!$a$3:$D$241,4,0)</f>
        <v>9336678720</v>
      </c>
      <c r="F178" s="7" t="n">
        <v>37622</v>
      </c>
      <c r="G178" s="7" t="n">
        <v>37622</v>
      </c>
      <c r="H178" s="5" t="s">
        <v>136</v>
      </c>
      <c r="I178" s="8" t="s">
        <v>28</v>
      </c>
      <c r="K178" s="5" t="s">
        <v>112</v>
      </c>
      <c r="L178" s="5" t="s">
        <v>30</v>
      </c>
      <c r="M178" s="10" t="s">
        <v>70</v>
      </c>
      <c r="N178" s="10" t="s">
        <v>32</v>
      </c>
      <c r="O178" s="10" t="s">
        <v>89</v>
      </c>
      <c r="P178" s="10" t="s">
        <v>34</v>
      </c>
      <c r="Q178" s="10" t="s">
        <v>35</v>
      </c>
      <c r="R178" s="10" t="s">
        <v>36</v>
      </c>
      <c r="S178" s="11" t="s">
        <v>37</v>
      </c>
      <c r="T178" s="11" t="s">
        <v>37</v>
      </c>
      <c r="U178" s="11" t="s">
        <v>37</v>
      </c>
      <c r="V178" s="14" t="s">
        <v>678</v>
      </c>
      <c r="W178" s="10" t="s">
        <v>39</v>
      </c>
      <c r="X178" s="10" t="s">
        <v>39</v>
      </c>
    </row>
    <row r="179" customFormat="false" ht="15" hidden="false" customHeight="false" outlineLevel="0" collapsed="false">
      <c r="A179" s="5" t="s">
        <v>679</v>
      </c>
      <c r="B179" s="5" t="s">
        <v>680</v>
      </c>
      <c r="C179" s="5" t="s">
        <v>42</v>
      </c>
      <c r="D179" s="6" t="str">
        <f aca="false">VLOOKUP(B179,[2]sheet0!$a$3:$D$241,4,0)</f>
        <v>7827603436</v>
      </c>
      <c r="F179" s="7" t="n">
        <v>31048</v>
      </c>
      <c r="G179" s="7" t="n">
        <v>31048</v>
      </c>
      <c r="H179" s="5" t="s">
        <v>136</v>
      </c>
      <c r="I179" s="8" t="s">
        <v>28</v>
      </c>
      <c r="K179" s="5" t="s">
        <v>112</v>
      </c>
      <c r="L179" s="5" t="s">
        <v>30</v>
      </c>
      <c r="M179" s="10" t="s">
        <v>70</v>
      </c>
      <c r="N179" s="10" t="s">
        <v>32</v>
      </c>
      <c r="O179" s="10" t="s">
        <v>71</v>
      </c>
      <c r="P179" s="10" t="s">
        <v>34</v>
      </c>
      <c r="Q179" s="10" t="s">
        <v>35</v>
      </c>
      <c r="R179" s="10" t="s">
        <v>36</v>
      </c>
      <c r="S179" s="11" t="s">
        <v>37</v>
      </c>
      <c r="T179" s="11" t="s">
        <v>37</v>
      </c>
      <c r="U179" s="11" t="s">
        <v>37</v>
      </c>
      <c r="V179" s="14" t="s">
        <v>681</v>
      </c>
      <c r="W179" s="10" t="s">
        <v>39</v>
      </c>
      <c r="X179" s="10" t="s">
        <v>39</v>
      </c>
    </row>
    <row r="180" customFormat="false" ht="15" hidden="false" customHeight="false" outlineLevel="0" collapsed="false">
      <c r="A180" s="5" t="s">
        <v>682</v>
      </c>
      <c r="B180" s="5" t="s">
        <v>683</v>
      </c>
      <c r="C180" s="5" t="s">
        <v>42</v>
      </c>
      <c r="D180" s="6" t="str">
        <f aca="false">VLOOKUP(B180,[2]sheet0!$a$3:$D$241,4,0)</f>
        <v>9725010941</v>
      </c>
      <c r="F180" s="7" t="n">
        <v>29587</v>
      </c>
      <c r="G180" s="7" t="n">
        <v>29587</v>
      </c>
      <c r="H180" s="5" t="s">
        <v>47</v>
      </c>
      <c r="I180" s="8" t="s">
        <v>28</v>
      </c>
      <c r="K180" s="5" t="s">
        <v>112</v>
      </c>
      <c r="L180" s="5" t="s">
        <v>30</v>
      </c>
      <c r="M180" s="10" t="s">
        <v>70</v>
      </c>
      <c r="N180" s="10" t="s">
        <v>32</v>
      </c>
      <c r="O180" s="10" t="s">
        <v>71</v>
      </c>
      <c r="P180" s="10" t="s">
        <v>34</v>
      </c>
      <c r="Q180" s="10" t="s">
        <v>35</v>
      </c>
      <c r="R180" s="10" t="s">
        <v>36</v>
      </c>
      <c r="S180" s="11" t="s">
        <v>37</v>
      </c>
      <c r="T180" s="11" t="s">
        <v>37</v>
      </c>
      <c r="U180" s="11" t="s">
        <v>37</v>
      </c>
      <c r="V180" s="14" t="s">
        <v>684</v>
      </c>
      <c r="W180" s="10" t="s">
        <v>39</v>
      </c>
      <c r="X180" s="10" t="s">
        <v>39</v>
      </c>
    </row>
    <row r="181" customFormat="false" ht="15" hidden="false" customHeight="false" outlineLevel="0" collapsed="false">
      <c r="A181" s="5" t="s">
        <v>685</v>
      </c>
      <c r="B181" s="5" t="s">
        <v>686</v>
      </c>
      <c r="C181" s="5" t="s">
        <v>42</v>
      </c>
      <c r="D181" s="6" t="str">
        <f aca="false">VLOOKUP(B181,[2]sheet0!$a$3:$D$241,4,0)</f>
        <v>8128698183</v>
      </c>
      <c r="F181" s="7" t="n">
        <v>30024</v>
      </c>
      <c r="G181" s="7" t="n">
        <v>30024</v>
      </c>
      <c r="H181" s="5" t="s">
        <v>27</v>
      </c>
      <c r="I181" s="8" t="s">
        <v>28</v>
      </c>
      <c r="K181" s="5" t="s">
        <v>112</v>
      </c>
      <c r="L181" s="5" t="s">
        <v>30</v>
      </c>
      <c r="M181" s="10" t="s">
        <v>70</v>
      </c>
      <c r="N181" s="10" t="s">
        <v>32</v>
      </c>
      <c r="O181" s="10" t="s">
        <v>71</v>
      </c>
      <c r="P181" s="10" t="s">
        <v>34</v>
      </c>
      <c r="Q181" s="10" t="s">
        <v>35</v>
      </c>
      <c r="R181" s="10" t="s">
        <v>36</v>
      </c>
      <c r="S181" s="11" t="s">
        <v>37</v>
      </c>
      <c r="T181" s="11" t="s">
        <v>37</v>
      </c>
      <c r="U181" s="11" t="s">
        <v>37</v>
      </c>
      <c r="V181" s="14" t="s">
        <v>687</v>
      </c>
      <c r="W181" s="10" t="s">
        <v>39</v>
      </c>
      <c r="X181" s="10" t="s">
        <v>39</v>
      </c>
    </row>
    <row r="182" customFormat="false" ht="15" hidden="false" customHeight="false" outlineLevel="0" collapsed="false">
      <c r="A182" s="5" t="s">
        <v>688</v>
      </c>
      <c r="B182" s="5" t="s">
        <v>689</v>
      </c>
      <c r="C182" s="5" t="s">
        <v>42</v>
      </c>
      <c r="D182" s="6" t="str">
        <f aca="false">VLOOKUP(B182,[3]master!$b$6:$V$252,21,0)</f>
        <v>8238812715</v>
      </c>
      <c r="F182" s="7" t="n">
        <v>35596</v>
      </c>
      <c r="G182" s="7" t="n">
        <v>35596</v>
      </c>
      <c r="H182" s="5" t="s">
        <v>27</v>
      </c>
      <c r="I182" s="8" t="s">
        <v>28</v>
      </c>
      <c r="K182" s="5" t="s">
        <v>112</v>
      </c>
      <c r="L182" s="5" t="s">
        <v>30</v>
      </c>
      <c r="M182" s="10" t="s">
        <v>70</v>
      </c>
      <c r="N182" s="10" t="s">
        <v>32</v>
      </c>
      <c r="O182" s="10" t="s">
        <v>71</v>
      </c>
      <c r="P182" s="10" t="s">
        <v>34</v>
      </c>
      <c r="Q182" s="10" t="s">
        <v>35</v>
      </c>
      <c r="R182" s="10" t="s">
        <v>36</v>
      </c>
      <c r="S182" s="11" t="s">
        <v>37</v>
      </c>
      <c r="T182" s="11" t="s">
        <v>37</v>
      </c>
      <c r="U182" s="11" t="s">
        <v>37</v>
      </c>
      <c r="V182" s="14" t="s">
        <v>690</v>
      </c>
      <c r="W182" s="10" t="s">
        <v>39</v>
      </c>
      <c r="X182" s="10" t="s">
        <v>39</v>
      </c>
    </row>
    <row r="183" customFormat="false" ht="15" hidden="false" customHeight="false" outlineLevel="0" collapsed="false">
      <c r="A183" s="5" t="s">
        <v>691</v>
      </c>
      <c r="B183" s="5" t="s">
        <v>692</v>
      </c>
      <c r="C183" s="5" t="s">
        <v>26</v>
      </c>
      <c r="D183" s="6" t="str">
        <f aca="false">VLOOKUP(B183,[2]sheet0!$a$3:$D$241,4,0)</f>
        <v>8849816366</v>
      </c>
      <c r="F183" s="7" t="n">
        <v>37196</v>
      </c>
      <c r="G183" s="7" t="n">
        <v>37196</v>
      </c>
      <c r="H183" s="5" t="s">
        <v>27</v>
      </c>
      <c r="I183" s="8" t="s">
        <v>28</v>
      </c>
      <c r="K183" s="5" t="s">
        <v>112</v>
      </c>
      <c r="L183" s="5" t="s">
        <v>30</v>
      </c>
      <c r="M183" s="10" t="s">
        <v>49</v>
      </c>
      <c r="N183" s="10" t="s">
        <v>32</v>
      </c>
      <c r="O183" s="10" t="s">
        <v>693</v>
      </c>
      <c r="P183" s="10" t="s">
        <v>34</v>
      </c>
      <c r="Q183" s="10" t="s">
        <v>35</v>
      </c>
      <c r="R183" s="10" t="s">
        <v>36</v>
      </c>
      <c r="S183" s="11" t="s">
        <v>37</v>
      </c>
      <c r="T183" s="11" t="s">
        <v>37</v>
      </c>
      <c r="U183" s="11" t="s">
        <v>37</v>
      </c>
      <c r="V183" s="1" t="s">
        <v>694</v>
      </c>
      <c r="W183" s="10" t="s">
        <v>39</v>
      </c>
      <c r="X183" s="10" t="s">
        <v>39</v>
      </c>
    </row>
    <row r="184" customFormat="false" ht="15" hidden="false" customHeight="false" outlineLevel="0" collapsed="false">
      <c r="A184" s="5" t="s">
        <v>695</v>
      </c>
      <c r="B184" s="5" t="s">
        <v>696</v>
      </c>
      <c r="C184" s="5" t="s">
        <v>26</v>
      </c>
      <c r="D184" s="6" t="str">
        <f aca="false">VLOOKUP(B184,[2]sheet0!$a$3:$D$241,4,0)</f>
        <v>8401919018</v>
      </c>
      <c r="F184" s="7" t="n">
        <v>35746</v>
      </c>
      <c r="G184" s="7" t="n">
        <v>35746</v>
      </c>
      <c r="H184" s="5" t="s">
        <v>54</v>
      </c>
      <c r="I184" s="8" t="s">
        <v>28</v>
      </c>
      <c r="K184" s="5" t="s">
        <v>112</v>
      </c>
      <c r="L184" s="5" t="s">
        <v>30</v>
      </c>
      <c r="M184" s="10" t="s">
        <v>118</v>
      </c>
      <c r="N184" s="10" t="s">
        <v>32</v>
      </c>
      <c r="O184" s="10" t="s">
        <v>364</v>
      </c>
      <c r="P184" s="10" t="s">
        <v>34</v>
      </c>
      <c r="Q184" s="10" t="s">
        <v>35</v>
      </c>
      <c r="R184" s="10" t="s">
        <v>36</v>
      </c>
      <c r="S184" s="11" t="s">
        <v>37</v>
      </c>
      <c r="T184" s="11" t="s">
        <v>37</v>
      </c>
      <c r="U184" s="11" t="s">
        <v>37</v>
      </c>
      <c r="V184" s="1" t="s">
        <v>697</v>
      </c>
      <c r="W184" s="10" t="s">
        <v>39</v>
      </c>
      <c r="X184" s="10" t="s">
        <v>39</v>
      </c>
    </row>
    <row r="185" customFormat="false" ht="15" hidden="false" customHeight="false" outlineLevel="0" collapsed="false">
      <c r="A185" s="5" t="s">
        <v>698</v>
      </c>
      <c r="B185" s="5" t="s">
        <v>699</v>
      </c>
      <c r="C185" s="5" t="s">
        <v>26</v>
      </c>
      <c r="D185" s="6" t="str">
        <f aca="false">VLOOKUP(B185,[2]sheet0!$a$3:$D$241,4,0)</f>
        <v>7096736465</v>
      </c>
      <c r="F185" s="7" t="n">
        <v>32411</v>
      </c>
      <c r="G185" s="7" t="n">
        <v>32411</v>
      </c>
      <c r="H185" s="5" t="s">
        <v>54</v>
      </c>
      <c r="I185" s="8" t="s">
        <v>28</v>
      </c>
      <c r="K185" s="5" t="s">
        <v>112</v>
      </c>
      <c r="L185" s="5" t="s">
        <v>30</v>
      </c>
      <c r="M185" s="10" t="s">
        <v>146</v>
      </c>
      <c r="N185" s="10" t="s">
        <v>32</v>
      </c>
      <c r="O185" s="10" t="s">
        <v>132</v>
      </c>
      <c r="P185" s="10" t="s">
        <v>34</v>
      </c>
      <c r="Q185" s="10" t="s">
        <v>35</v>
      </c>
      <c r="R185" s="10" t="s">
        <v>36</v>
      </c>
      <c r="S185" s="11" t="s">
        <v>37</v>
      </c>
      <c r="T185" s="11" t="s">
        <v>37</v>
      </c>
      <c r="U185" s="11" t="s">
        <v>37</v>
      </c>
      <c r="V185" s="1" t="s">
        <v>700</v>
      </c>
      <c r="W185" s="10" t="s">
        <v>39</v>
      </c>
      <c r="X185" s="10" t="s">
        <v>39</v>
      </c>
    </row>
    <row r="186" customFormat="false" ht="15" hidden="false" customHeight="false" outlineLevel="0" collapsed="false">
      <c r="A186" s="5" t="s">
        <v>701</v>
      </c>
      <c r="B186" s="5" t="s">
        <v>702</v>
      </c>
      <c r="C186" s="5" t="s">
        <v>42</v>
      </c>
      <c r="D186" s="6" t="str">
        <f aca="false">VLOOKUP(B186,[2]sheet0!$a$3:$D$241,4,0)</f>
        <v>9726271432</v>
      </c>
      <c r="F186" s="7" t="n">
        <v>38094</v>
      </c>
      <c r="G186" s="7" t="n">
        <v>38094</v>
      </c>
      <c r="H186" s="5" t="s">
        <v>136</v>
      </c>
      <c r="I186" s="8" t="s">
        <v>28</v>
      </c>
      <c r="K186" s="5" t="s">
        <v>112</v>
      </c>
      <c r="L186" s="5" t="s">
        <v>30</v>
      </c>
      <c r="M186" s="10" t="s">
        <v>113</v>
      </c>
      <c r="N186" s="10" t="s">
        <v>32</v>
      </c>
      <c r="O186" s="10" t="s">
        <v>351</v>
      </c>
      <c r="P186" s="10" t="s">
        <v>34</v>
      </c>
      <c r="Q186" s="10" t="s">
        <v>35</v>
      </c>
      <c r="R186" s="10" t="s">
        <v>36</v>
      </c>
      <c r="S186" s="11" t="s">
        <v>37</v>
      </c>
      <c r="T186" s="11" t="s">
        <v>37</v>
      </c>
      <c r="U186" s="11" t="s">
        <v>37</v>
      </c>
      <c r="V186" s="14" t="s">
        <v>703</v>
      </c>
      <c r="W186" s="10" t="s">
        <v>39</v>
      </c>
      <c r="X186" s="10" t="s">
        <v>39</v>
      </c>
    </row>
    <row r="187" customFormat="false" ht="15" hidden="false" customHeight="false" outlineLevel="0" collapsed="false">
      <c r="A187" s="5" t="s">
        <v>704</v>
      </c>
      <c r="B187" s="5" t="s">
        <v>705</v>
      </c>
      <c r="C187" s="5" t="s">
        <v>26</v>
      </c>
      <c r="D187" s="6" t="str">
        <f aca="false">VLOOKUP(B187,[2]sheet0!$a$3:$D$241,4,0)</f>
        <v>9727931178</v>
      </c>
      <c r="F187" s="7" t="n">
        <v>24487</v>
      </c>
      <c r="G187" s="7" t="n">
        <v>24487</v>
      </c>
      <c r="H187" s="5" t="s">
        <v>136</v>
      </c>
      <c r="I187" s="8" t="s">
        <v>28</v>
      </c>
      <c r="K187" s="5" t="s">
        <v>112</v>
      </c>
      <c r="L187" s="5" t="s">
        <v>30</v>
      </c>
      <c r="M187" s="10" t="s">
        <v>70</v>
      </c>
      <c r="N187" s="10" t="s">
        <v>32</v>
      </c>
      <c r="O187" s="10" t="s">
        <v>706</v>
      </c>
      <c r="P187" s="10" t="s">
        <v>34</v>
      </c>
      <c r="Q187" s="10" t="s">
        <v>35</v>
      </c>
      <c r="R187" s="10" t="s">
        <v>36</v>
      </c>
      <c r="S187" s="11" t="s">
        <v>37</v>
      </c>
      <c r="T187" s="11" t="s">
        <v>37</v>
      </c>
      <c r="U187" s="11" t="s">
        <v>37</v>
      </c>
      <c r="V187" s="14" t="s">
        <v>707</v>
      </c>
      <c r="W187" s="10" t="s">
        <v>39</v>
      </c>
      <c r="X187" s="10" t="s">
        <v>39</v>
      </c>
    </row>
    <row r="188" customFormat="false" ht="15" hidden="false" customHeight="false" outlineLevel="0" collapsed="false">
      <c r="A188" s="5" t="s">
        <v>708</v>
      </c>
      <c r="B188" s="5" t="s">
        <v>709</v>
      </c>
      <c r="C188" s="5" t="s">
        <v>26</v>
      </c>
      <c r="D188" s="6" t="str">
        <f aca="false">VLOOKUP(B188,[2]sheet0!$a$3:$D$241,4,0)</f>
        <v>9523193597</v>
      </c>
      <c r="F188" s="7" t="n">
        <v>37987</v>
      </c>
      <c r="G188" s="7" t="n">
        <v>37987</v>
      </c>
      <c r="H188" s="5" t="s">
        <v>136</v>
      </c>
      <c r="I188" s="8" t="s">
        <v>28</v>
      </c>
      <c r="K188" s="5" t="s">
        <v>112</v>
      </c>
      <c r="L188" s="5" t="s">
        <v>30</v>
      </c>
      <c r="M188" s="10" t="s">
        <v>203</v>
      </c>
      <c r="N188" s="10" t="s">
        <v>32</v>
      </c>
      <c r="O188" s="10" t="s">
        <v>159</v>
      </c>
      <c r="P188" s="10" t="s">
        <v>34</v>
      </c>
      <c r="Q188" s="10" t="s">
        <v>35</v>
      </c>
      <c r="R188" s="10" t="s">
        <v>36</v>
      </c>
      <c r="S188" s="11" t="s">
        <v>37</v>
      </c>
      <c r="T188" s="11" t="s">
        <v>37</v>
      </c>
      <c r="U188" s="11" t="s">
        <v>37</v>
      </c>
      <c r="V188" s="1" t="s">
        <v>710</v>
      </c>
      <c r="W188" s="10" t="s">
        <v>39</v>
      </c>
      <c r="X188" s="10" t="s">
        <v>39</v>
      </c>
    </row>
    <row r="189" customFormat="false" ht="15" hidden="false" customHeight="false" outlineLevel="0" collapsed="false">
      <c r="A189" s="5" t="s">
        <v>711</v>
      </c>
      <c r="B189" s="5" t="s">
        <v>712</v>
      </c>
      <c r="C189" s="5" t="s">
        <v>26</v>
      </c>
      <c r="D189" s="6" t="str">
        <f aca="false">VLOOKUP(B189,[2]sheet0!$a$3:$D$241,4,0)</f>
        <v>7271005536</v>
      </c>
      <c r="F189" s="7" t="n">
        <v>35072</v>
      </c>
      <c r="G189" s="7" t="n">
        <v>35072</v>
      </c>
      <c r="H189" s="5" t="s">
        <v>27</v>
      </c>
      <c r="I189" s="8" t="s">
        <v>28</v>
      </c>
      <c r="K189" s="5" t="s">
        <v>112</v>
      </c>
      <c r="L189" s="5" t="s">
        <v>30</v>
      </c>
      <c r="M189" s="10" t="s">
        <v>49</v>
      </c>
      <c r="N189" s="10" t="s">
        <v>32</v>
      </c>
      <c r="O189" s="10" t="s">
        <v>693</v>
      </c>
      <c r="P189" s="10" t="s">
        <v>34</v>
      </c>
      <c r="Q189" s="10" t="s">
        <v>35</v>
      </c>
      <c r="R189" s="10" t="s">
        <v>36</v>
      </c>
      <c r="S189" s="11" t="s">
        <v>37</v>
      </c>
      <c r="T189" s="11" t="s">
        <v>37</v>
      </c>
      <c r="U189" s="11" t="s">
        <v>37</v>
      </c>
      <c r="V189" s="1" t="s">
        <v>713</v>
      </c>
      <c r="W189" s="10" t="s">
        <v>39</v>
      </c>
      <c r="X189" s="10" t="s">
        <v>39</v>
      </c>
    </row>
    <row r="190" customFormat="false" ht="15" hidden="false" customHeight="false" outlineLevel="0" collapsed="false">
      <c r="A190" s="5" t="s">
        <v>714</v>
      </c>
      <c r="B190" s="5" t="s">
        <v>715</v>
      </c>
      <c r="C190" s="5" t="s">
        <v>26</v>
      </c>
      <c r="D190" s="6" t="str">
        <f aca="false">VLOOKUP(B190,[2]sheet0!$a$3:$D$241,4,0)</f>
        <v>6359731876</v>
      </c>
      <c r="F190" s="7" t="n">
        <v>36970</v>
      </c>
      <c r="G190" s="7" t="n">
        <v>36970</v>
      </c>
      <c r="H190" s="5" t="s">
        <v>27</v>
      </c>
      <c r="I190" s="8" t="s">
        <v>28</v>
      </c>
      <c r="K190" s="5" t="s">
        <v>112</v>
      </c>
      <c r="L190" s="5" t="s">
        <v>30</v>
      </c>
      <c r="M190" s="10" t="s">
        <v>328</v>
      </c>
      <c r="N190" s="10" t="s">
        <v>32</v>
      </c>
      <c r="O190" s="10" t="s">
        <v>716</v>
      </c>
      <c r="P190" s="10" t="s">
        <v>34</v>
      </c>
      <c r="Q190" s="10" t="s">
        <v>35</v>
      </c>
      <c r="R190" s="10" t="s">
        <v>36</v>
      </c>
      <c r="S190" s="11" t="s">
        <v>37</v>
      </c>
      <c r="T190" s="11" t="s">
        <v>37</v>
      </c>
      <c r="U190" s="11" t="s">
        <v>37</v>
      </c>
      <c r="V190" s="1" t="s">
        <v>139</v>
      </c>
      <c r="W190" s="10" t="s">
        <v>39</v>
      </c>
      <c r="X190" s="10" t="s">
        <v>39</v>
      </c>
    </row>
    <row r="191" customFormat="false" ht="15" hidden="false" customHeight="false" outlineLevel="0" collapsed="false">
      <c r="A191" s="5" t="s">
        <v>717</v>
      </c>
      <c r="B191" s="5" t="s">
        <v>718</v>
      </c>
      <c r="C191" s="5" t="s">
        <v>26</v>
      </c>
      <c r="D191" s="6" t="str">
        <f aca="false">VLOOKUP(B191,[2]sheet0!$a$3:$D$241,4,0)</f>
        <v>9638771529</v>
      </c>
      <c r="F191" s="7" t="n">
        <v>34823</v>
      </c>
      <c r="G191" s="7" t="n">
        <v>34823</v>
      </c>
      <c r="H191" s="5" t="s">
        <v>27</v>
      </c>
      <c r="I191" s="8" t="s">
        <v>28</v>
      </c>
      <c r="K191" s="5" t="s">
        <v>112</v>
      </c>
      <c r="L191" s="5" t="s">
        <v>30</v>
      </c>
      <c r="M191" s="10" t="s">
        <v>363</v>
      </c>
      <c r="N191" s="10" t="s">
        <v>32</v>
      </c>
      <c r="O191" s="10" t="s">
        <v>719</v>
      </c>
      <c r="P191" s="10" t="s">
        <v>34</v>
      </c>
      <c r="Q191" s="10" t="s">
        <v>35</v>
      </c>
      <c r="R191" s="10" t="s">
        <v>36</v>
      </c>
      <c r="S191" s="11" t="s">
        <v>37</v>
      </c>
      <c r="T191" s="11" t="s">
        <v>37</v>
      </c>
      <c r="U191" s="11" t="s">
        <v>37</v>
      </c>
      <c r="V191" s="1" t="s">
        <v>720</v>
      </c>
      <c r="W191" s="10" t="s">
        <v>39</v>
      </c>
      <c r="X191" s="10" t="s">
        <v>39</v>
      </c>
    </row>
    <row r="192" customFormat="false" ht="15" hidden="false" customHeight="false" outlineLevel="0" collapsed="false">
      <c r="A192" s="5" t="s">
        <v>721</v>
      </c>
      <c r="B192" s="5" t="s">
        <v>722</v>
      </c>
      <c r="C192" s="5" t="s">
        <v>26</v>
      </c>
      <c r="D192" s="6" t="str">
        <f aca="false">VLOOKUP(B192,[2]sheet0!$a$3:$D$241,4,0)</f>
        <v>9305161371</v>
      </c>
      <c r="F192" s="7" t="n">
        <v>37473</v>
      </c>
      <c r="G192" s="7" t="n">
        <v>37473</v>
      </c>
      <c r="H192" s="5" t="s">
        <v>27</v>
      </c>
      <c r="I192" s="8" t="s">
        <v>28</v>
      </c>
      <c r="K192" s="5" t="s">
        <v>112</v>
      </c>
      <c r="L192" s="5" t="s">
        <v>30</v>
      </c>
      <c r="M192" s="10" t="s">
        <v>49</v>
      </c>
      <c r="N192" s="10" t="s">
        <v>32</v>
      </c>
      <c r="O192" s="10" t="s">
        <v>693</v>
      </c>
      <c r="P192" s="10" t="s">
        <v>34</v>
      </c>
      <c r="Q192" s="10" t="s">
        <v>35</v>
      </c>
      <c r="R192" s="10" t="s">
        <v>36</v>
      </c>
      <c r="S192" s="11" t="s">
        <v>37</v>
      </c>
      <c r="T192" s="11" t="s">
        <v>37</v>
      </c>
      <c r="U192" s="11" t="s">
        <v>37</v>
      </c>
      <c r="V192" s="1" t="s">
        <v>723</v>
      </c>
      <c r="W192" s="10" t="s">
        <v>39</v>
      </c>
      <c r="X192" s="10" t="s">
        <v>39</v>
      </c>
    </row>
    <row r="193" customFormat="false" ht="15" hidden="false" customHeight="false" outlineLevel="0" collapsed="false">
      <c r="A193" s="5" t="s">
        <v>724</v>
      </c>
      <c r="B193" s="5" t="s">
        <v>725</v>
      </c>
      <c r="C193" s="5" t="s">
        <v>42</v>
      </c>
      <c r="D193" s="6" t="str">
        <f aca="false">VLOOKUP(B193,[2]sheet0!$a$3:$D$241,4,0)</f>
        <v>7984174688</v>
      </c>
      <c r="F193" s="7" t="n">
        <v>34386</v>
      </c>
      <c r="G193" s="7" t="n">
        <v>34386</v>
      </c>
      <c r="H193" s="5" t="s">
        <v>27</v>
      </c>
      <c r="I193" s="8" t="s">
        <v>28</v>
      </c>
      <c r="K193" s="5" t="s">
        <v>112</v>
      </c>
      <c r="L193" s="5" t="s">
        <v>30</v>
      </c>
      <c r="M193" s="10" t="s">
        <v>726</v>
      </c>
      <c r="N193" s="10" t="s">
        <v>32</v>
      </c>
      <c r="O193" s="10" t="s">
        <v>727</v>
      </c>
      <c r="P193" s="10" t="s">
        <v>34</v>
      </c>
      <c r="Q193" s="10" t="s">
        <v>35</v>
      </c>
      <c r="R193" s="10" t="s">
        <v>36</v>
      </c>
      <c r="S193" s="11" t="s">
        <v>37</v>
      </c>
      <c r="T193" s="11" t="s">
        <v>37</v>
      </c>
      <c r="U193" s="11" t="s">
        <v>37</v>
      </c>
      <c r="V193" s="1" t="s">
        <v>728</v>
      </c>
      <c r="W193" s="10" t="s">
        <v>39</v>
      </c>
      <c r="X193" s="10" t="s">
        <v>39</v>
      </c>
    </row>
    <row r="194" customFormat="false" ht="15" hidden="false" customHeight="false" outlineLevel="0" collapsed="false">
      <c r="A194" s="5" t="s">
        <v>729</v>
      </c>
      <c r="B194" s="5" t="s">
        <v>730</v>
      </c>
      <c r="C194" s="5" t="s">
        <v>42</v>
      </c>
      <c r="D194" s="6" t="str">
        <f aca="false">VLOOKUP(B194,[3]master!$b$6:$V$252,21,0)</f>
        <v>9327522995</v>
      </c>
      <c r="F194" s="7" t="n">
        <v>37768</v>
      </c>
      <c r="G194" s="7" t="n">
        <v>37768</v>
      </c>
      <c r="H194" s="5" t="s">
        <v>27</v>
      </c>
      <c r="I194" s="8" t="s">
        <v>28</v>
      </c>
      <c r="K194" s="5" t="s">
        <v>112</v>
      </c>
      <c r="L194" s="5" t="s">
        <v>30</v>
      </c>
      <c r="M194" s="10" t="s">
        <v>70</v>
      </c>
      <c r="N194" s="10" t="s">
        <v>32</v>
      </c>
      <c r="O194" s="10" t="s">
        <v>211</v>
      </c>
      <c r="P194" s="10" t="s">
        <v>34</v>
      </c>
      <c r="Q194" s="10" t="s">
        <v>35</v>
      </c>
      <c r="R194" s="10" t="s">
        <v>36</v>
      </c>
      <c r="S194" s="11" t="s">
        <v>37</v>
      </c>
      <c r="T194" s="11" t="s">
        <v>37</v>
      </c>
      <c r="U194" s="11" t="s">
        <v>37</v>
      </c>
      <c r="V194" s="1" t="s">
        <v>731</v>
      </c>
      <c r="W194" s="10" t="s">
        <v>39</v>
      </c>
      <c r="X194" s="10" t="s">
        <v>39</v>
      </c>
    </row>
    <row r="195" customFormat="false" ht="15" hidden="false" customHeight="false" outlineLevel="0" collapsed="false">
      <c r="A195" s="5" t="s">
        <v>732</v>
      </c>
      <c r="B195" s="5" t="s">
        <v>733</v>
      </c>
      <c r="C195" s="5" t="s">
        <v>26</v>
      </c>
      <c r="D195" s="6" t="str">
        <f aca="false">VLOOKUP(B195,[3]master!$b$6:$V$252,21,0)</f>
        <v>9874308113</v>
      </c>
      <c r="F195" s="7" t="n">
        <v>32020</v>
      </c>
      <c r="G195" s="7" t="n">
        <v>32020</v>
      </c>
      <c r="H195" s="5" t="s">
        <v>27</v>
      </c>
      <c r="I195" s="8" t="s">
        <v>28</v>
      </c>
      <c r="K195" s="5" t="s">
        <v>112</v>
      </c>
      <c r="L195" s="5" t="s">
        <v>30</v>
      </c>
      <c r="M195" s="10" t="s">
        <v>734</v>
      </c>
      <c r="N195" s="10" t="s">
        <v>32</v>
      </c>
      <c r="O195" s="10" t="s">
        <v>735</v>
      </c>
      <c r="P195" s="10" t="s">
        <v>34</v>
      </c>
      <c r="Q195" s="10" t="s">
        <v>35</v>
      </c>
      <c r="R195" s="10" t="s">
        <v>36</v>
      </c>
      <c r="S195" s="11" t="s">
        <v>37</v>
      </c>
      <c r="T195" s="11" t="s">
        <v>37</v>
      </c>
      <c r="U195" s="11" t="s">
        <v>37</v>
      </c>
      <c r="V195" s="1" t="s">
        <v>736</v>
      </c>
      <c r="W195" s="10" t="s">
        <v>39</v>
      </c>
      <c r="X195" s="10" t="s">
        <v>39</v>
      </c>
    </row>
    <row r="196" customFormat="false" ht="15" hidden="false" customHeight="false" outlineLevel="0" collapsed="false">
      <c r="A196" s="5" t="s">
        <v>737</v>
      </c>
      <c r="B196" s="5" t="s">
        <v>738</v>
      </c>
      <c r="C196" s="5" t="s">
        <v>26</v>
      </c>
      <c r="D196" s="6" t="str">
        <f aca="false">VLOOKUP(B196,[2]sheet0!$a$3:$D$241,4,0)</f>
        <v>9979093857</v>
      </c>
      <c r="F196" s="7" t="n">
        <v>31657</v>
      </c>
      <c r="G196" s="7" t="n">
        <v>31657</v>
      </c>
      <c r="H196" s="5" t="s">
        <v>27</v>
      </c>
      <c r="I196" s="8" t="s">
        <v>28</v>
      </c>
      <c r="K196" s="5" t="s">
        <v>112</v>
      </c>
      <c r="L196" s="5" t="s">
        <v>30</v>
      </c>
      <c r="M196" s="10" t="s">
        <v>313</v>
      </c>
      <c r="N196" s="10" t="s">
        <v>32</v>
      </c>
      <c r="O196" s="10" t="s">
        <v>435</v>
      </c>
      <c r="P196" s="10" t="s">
        <v>34</v>
      </c>
      <c r="Q196" s="10" t="s">
        <v>35</v>
      </c>
      <c r="R196" s="10" t="s">
        <v>36</v>
      </c>
      <c r="S196" s="11" t="s">
        <v>37</v>
      </c>
      <c r="T196" s="11" t="s">
        <v>37</v>
      </c>
      <c r="U196" s="11" t="s">
        <v>37</v>
      </c>
      <c r="V196" s="1" t="s">
        <v>739</v>
      </c>
      <c r="W196" s="10" t="s">
        <v>39</v>
      </c>
      <c r="X196" s="10" t="s">
        <v>39</v>
      </c>
    </row>
    <row r="197" customFormat="false" ht="15" hidden="false" customHeight="false" outlineLevel="0" collapsed="false">
      <c r="A197" s="5" t="s">
        <v>740</v>
      </c>
      <c r="B197" s="5" t="s">
        <v>741</v>
      </c>
      <c r="C197" s="5" t="s">
        <v>26</v>
      </c>
      <c r="D197" s="6" t="str">
        <f aca="false">VLOOKUP(B197,[2]sheet0!$a$3:$D$241,4,0)</f>
        <v>9586892571</v>
      </c>
      <c r="F197" s="7" t="n">
        <v>38063</v>
      </c>
      <c r="G197" s="7" t="n">
        <v>38063</v>
      </c>
      <c r="H197" s="5" t="s">
        <v>27</v>
      </c>
      <c r="I197" s="8" t="s">
        <v>28</v>
      </c>
      <c r="K197" s="5" t="s">
        <v>112</v>
      </c>
      <c r="L197" s="5" t="s">
        <v>30</v>
      </c>
      <c r="M197" s="10" t="s">
        <v>317</v>
      </c>
      <c r="N197" s="10" t="s">
        <v>32</v>
      </c>
      <c r="O197" s="10" t="s">
        <v>435</v>
      </c>
      <c r="P197" s="10" t="s">
        <v>34</v>
      </c>
      <c r="Q197" s="10" t="s">
        <v>35</v>
      </c>
      <c r="R197" s="10" t="s">
        <v>36</v>
      </c>
      <c r="S197" s="11" t="s">
        <v>37</v>
      </c>
      <c r="T197" s="11" t="s">
        <v>37</v>
      </c>
      <c r="U197" s="11" t="s">
        <v>37</v>
      </c>
      <c r="V197" s="1" t="s">
        <v>742</v>
      </c>
      <c r="W197" s="10" t="s">
        <v>39</v>
      </c>
      <c r="X197" s="10" t="s">
        <v>39</v>
      </c>
    </row>
    <row r="198" customFormat="false" ht="15" hidden="false" customHeight="false" outlineLevel="0" collapsed="false">
      <c r="A198" s="5" t="s">
        <v>743</v>
      </c>
      <c r="B198" s="5" t="s">
        <v>744</v>
      </c>
      <c r="C198" s="5" t="s">
        <v>26</v>
      </c>
      <c r="D198" s="6" t="str">
        <f aca="false">VLOOKUP(B198,[3]master!$b$6:$V$252,21,0)</f>
        <v>9316966161</v>
      </c>
      <c r="F198" s="7" t="n">
        <v>37774</v>
      </c>
      <c r="G198" s="7" t="n">
        <v>37774</v>
      </c>
      <c r="H198" s="5" t="s">
        <v>27</v>
      </c>
      <c r="I198" s="8" t="s">
        <v>28</v>
      </c>
      <c r="K198" s="5" t="s">
        <v>112</v>
      </c>
      <c r="L198" s="5" t="s">
        <v>30</v>
      </c>
      <c r="M198" s="10" t="s">
        <v>113</v>
      </c>
      <c r="N198" s="10" t="s">
        <v>32</v>
      </c>
      <c r="O198" s="10" t="s">
        <v>269</v>
      </c>
      <c r="P198" s="10" t="s">
        <v>34</v>
      </c>
      <c r="Q198" s="10" t="s">
        <v>35</v>
      </c>
      <c r="R198" s="10" t="s">
        <v>36</v>
      </c>
      <c r="S198" s="11" t="s">
        <v>37</v>
      </c>
      <c r="T198" s="11" t="s">
        <v>37</v>
      </c>
      <c r="U198" s="11" t="s">
        <v>37</v>
      </c>
      <c r="V198" s="1" t="s">
        <v>745</v>
      </c>
      <c r="W198" s="10" t="s">
        <v>39</v>
      </c>
      <c r="X198" s="10" t="s">
        <v>39</v>
      </c>
    </row>
    <row r="199" customFormat="false" ht="15" hidden="false" customHeight="false" outlineLevel="0" collapsed="false">
      <c r="A199" s="5" t="s">
        <v>746</v>
      </c>
      <c r="B199" s="5" t="s">
        <v>747</v>
      </c>
      <c r="C199" s="5" t="s">
        <v>26</v>
      </c>
      <c r="D199" s="6" t="str">
        <f aca="false">VLOOKUP(B199,[2]sheet0!$a$3:$D$241,4,0)</f>
        <v>9624817496</v>
      </c>
      <c r="F199" s="7" t="n">
        <v>38189</v>
      </c>
      <c r="G199" s="7" t="n">
        <v>38189</v>
      </c>
      <c r="H199" s="5" t="s">
        <v>27</v>
      </c>
      <c r="I199" s="8" t="s">
        <v>28</v>
      </c>
      <c r="K199" s="5" t="s">
        <v>112</v>
      </c>
      <c r="L199" s="5" t="s">
        <v>30</v>
      </c>
      <c r="M199" s="10" t="s">
        <v>113</v>
      </c>
      <c r="N199" s="10" t="s">
        <v>32</v>
      </c>
      <c r="O199" s="10" t="s">
        <v>114</v>
      </c>
      <c r="P199" s="10" t="s">
        <v>34</v>
      </c>
      <c r="Q199" s="10" t="s">
        <v>35</v>
      </c>
      <c r="R199" s="10" t="s">
        <v>36</v>
      </c>
      <c r="S199" s="11" t="s">
        <v>37</v>
      </c>
      <c r="T199" s="11" t="s">
        <v>37</v>
      </c>
      <c r="U199" s="11" t="s">
        <v>37</v>
      </c>
      <c r="V199" s="1" t="s">
        <v>748</v>
      </c>
      <c r="W199" s="10" t="s">
        <v>39</v>
      </c>
      <c r="X199" s="10" t="s">
        <v>39</v>
      </c>
    </row>
    <row r="200" customFormat="false" ht="15" hidden="false" customHeight="false" outlineLevel="0" collapsed="false">
      <c r="A200" s="5" t="s">
        <v>749</v>
      </c>
      <c r="B200" s="5" t="s">
        <v>750</v>
      </c>
      <c r="C200" s="5" t="s">
        <v>26</v>
      </c>
      <c r="D200" s="6" t="str">
        <f aca="false">VLOOKUP(B200,[2]sheet0!$a$3:$D$241,4,0)</f>
        <v>7201056255</v>
      </c>
      <c r="F200" s="7" t="n">
        <v>38162</v>
      </c>
      <c r="G200" s="7" t="n">
        <v>38162</v>
      </c>
      <c r="H200" s="5" t="s">
        <v>27</v>
      </c>
      <c r="I200" s="8" t="s">
        <v>28</v>
      </c>
      <c r="K200" s="5" t="s">
        <v>112</v>
      </c>
      <c r="L200" s="5" t="s">
        <v>30</v>
      </c>
      <c r="M200" s="10" t="s">
        <v>113</v>
      </c>
      <c r="N200" s="10" t="s">
        <v>32</v>
      </c>
      <c r="O200" s="10" t="s">
        <v>269</v>
      </c>
      <c r="P200" s="10" t="s">
        <v>34</v>
      </c>
      <c r="Q200" s="10" t="s">
        <v>35</v>
      </c>
      <c r="R200" s="10" t="s">
        <v>36</v>
      </c>
      <c r="S200" s="11" t="s">
        <v>37</v>
      </c>
      <c r="T200" s="11" t="s">
        <v>37</v>
      </c>
      <c r="U200" s="11" t="s">
        <v>37</v>
      </c>
      <c r="V200" s="1" t="s">
        <v>751</v>
      </c>
      <c r="W200" s="10" t="s">
        <v>39</v>
      </c>
      <c r="X200" s="10" t="s">
        <v>39</v>
      </c>
    </row>
    <row r="201" customFormat="false" ht="15" hidden="false" customHeight="false" outlineLevel="0" collapsed="false">
      <c r="A201" s="5" t="s">
        <v>752</v>
      </c>
      <c r="B201" s="5" t="s">
        <v>753</v>
      </c>
      <c r="C201" s="5" t="s">
        <v>26</v>
      </c>
      <c r="D201" s="6" t="str">
        <f aca="false">VLOOKUP(B201,[3]master!$b$6:$V$252,21,0)</f>
        <v>7878746167</v>
      </c>
      <c r="F201" s="7" t="n">
        <v>38208</v>
      </c>
      <c r="G201" s="7" t="n">
        <v>38208</v>
      </c>
      <c r="H201" s="5" t="s">
        <v>27</v>
      </c>
      <c r="I201" s="8" t="s">
        <v>28</v>
      </c>
      <c r="K201" s="5" t="s">
        <v>112</v>
      </c>
      <c r="L201" s="5" t="s">
        <v>30</v>
      </c>
      <c r="M201" s="10" t="s">
        <v>49</v>
      </c>
      <c r="N201" s="10" t="s">
        <v>32</v>
      </c>
      <c r="O201" s="10" t="s">
        <v>448</v>
      </c>
      <c r="P201" s="10" t="s">
        <v>34</v>
      </c>
      <c r="Q201" s="10" t="s">
        <v>35</v>
      </c>
      <c r="R201" s="10" t="s">
        <v>36</v>
      </c>
      <c r="S201" s="11" t="s">
        <v>37</v>
      </c>
      <c r="T201" s="11" t="s">
        <v>37</v>
      </c>
      <c r="U201" s="11" t="s">
        <v>37</v>
      </c>
      <c r="V201" s="1" t="s">
        <v>754</v>
      </c>
      <c r="W201" s="10" t="s">
        <v>39</v>
      </c>
      <c r="X201" s="10" t="s">
        <v>39</v>
      </c>
    </row>
    <row r="202" customFormat="false" ht="15" hidden="false" customHeight="false" outlineLevel="0" collapsed="false">
      <c r="A202" s="5" t="s">
        <v>755</v>
      </c>
      <c r="B202" s="5" t="s">
        <v>756</v>
      </c>
      <c r="C202" s="5" t="s">
        <v>26</v>
      </c>
      <c r="D202" s="6" t="str">
        <f aca="false">VLOOKUP(B202,[3]master!$b$6:$V$252,21,0)</f>
        <v>9559526334</v>
      </c>
      <c r="F202" s="7" t="n">
        <v>37697</v>
      </c>
      <c r="G202" s="7" t="n">
        <v>37697</v>
      </c>
      <c r="H202" s="5" t="s">
        <v>27</v>
      </c>
      <c r="I202" s="8" t="s">
        <v>28</v>
      </c>
      <c r="K202" s="5" t="s">
        <v>112</v>
      </c>
      <c r="L202" s="5" t="s">
        <v>30</v>
      </c>
      <c r="M202" s="10" t="s">
        <v>93</v>
      </c>
      <c r="N202" s="10" t="s">
        <v>32</v>
      </c>
      <c r="O202" s="10" t="s">
        <v>757</v>
      </c>
      <c r="P202" s="10" t="s">
        <v>34</v>
      </c>
      <c r="Q202" s="10" t="s">
        <v>35</v>
      </c>
      <c r="R202" s="10" t="s">
        <v>36</v>
      </c>
      <c r="S202" s="11" t="s">
        <v>37</v>
      </c>
      <c r="T202" s="11" t="s">
        <v>37</v>
      </c>
      <c r="U202" s="11" t="s">
        <v>37</v>
      </c>
      <c r="V202" s="1" t="s">
        <v>758</v>
      </c>
      <c r="W202" s="10" t="s">
        <v>39</v>
      </c>
      <c r="X202" s="10" t="s">
        <v>39</v>
      </c>
    </row>
    <row r="203" customFormat="false" ht="15" hidden="false" customHeight="false" outlineLevel="0" collapsed="false">
      <c r="A203" s="5" t="s">
        <v>759</v>
      </c>
      <c r="B203" s="5" t="s">
        <v>760</v>
      </c>
      <c r="C203" s="5" t="s">
        <v>26</v>
      </c>
      <c r="D203" s="6" t="str">
        <f aca="false">VLOOKUP(B203,[2]sheet0!$a$3:$D$241,4,0)</f>
        <v>9909435538</v>
      </c>
      <c r="F203" s="7" t="n">
        <v>31234</v>
      </c>
      <c r="G203" s="7" t="n">
        <v>31234</v>
      </c>
      <c r="H203" s="5" t="s">
        <v>47</v>
      </c>
      <c r="I203" s="8" t="s">
        <v>28</v>
      </c>
      <c r="K203" s="5" t="s">
        <v>112</v>
      </c>
      <c r="L203" s="5" t="s">
        <v>30</v>
      </c>
      <c r="M203" s="10" t="s">
        <v>317</v>
      </c>
      <c r="N203" s="10" t="s">
        <v>32</v>
      </c>
      <c r="O203" s="10" t="s">
        <v>435</v>
      </c>
      <c r="P203" s="10" t="s">
        <v>34</v>
      </c>
      <c r="Q203" s="10" t="s">
        <v>35</v>
      </c>
      <c r="R203" s="10" t="s">
        <v>36</v>
      </c>
      <c r="S203" s="11" t="s">
        <v>37</v>
      </c>
      <c r="T203" s="11" t="s">
        <v>37</v>
      </c>
      <c r="U203" s="11" t="s">
        <v>37</v>
      </c>
      <c r="V203" s="1" t="s">
        <v>761</v>
      </c>
      <c r="W203" s="10" t="s">
        <v>39</v>
      </c>
      <c r="X203" s="10" t="s">
        <v>39</v>
      </c>
    </row>
    <row r="204" customFormat="false" ht="15" hidden="false" customHeight="false" outlineLevel="0" collapsed="false">
      <c r="A204" s="5" t="s">
        <v>762</v>
      </c>
      <c r="B204" s="5" t="s">
        <v>763</v>
      </c>
      <c r="C204" s="5" t="s">
        <v>26</v>
      </c>
      <c r="D204" s="6" t="str">
        <f aca="false">VLOOKUP(B204,[2]sheet0!$a$3:$D$241,4,0)</f>
        <v>9067131363</v>
      </c>
      <c r="F204" s="7" t="n">
        <v>22929</v>
      </c>
      <c r="G204" s="7" t="n">
        <v>22929</v>
      </c>
      <c r="H204" s="5" t="s">
        <v>27</v>
      </c>
      <c r="I204" s="8" t="s">
        <v>28</v>
      </c>
      <c r="K204" s="5" t="s">
        <v>112</v>
      </c>
      <c r="L204" s="5" t="s">
        <v>30</v>
      </c>
      <c r="M204" s="10" t="s">
        <v>317</v>
      </c>
      <c r="N204" s="10" t="s">
        <v>32</v>
      </c>
      <c r="O204" s="10" t="s">
        <v>435</v>
      </c>
      <c r="P204" s="10" t="s">
        <v>34</v>
      </c>
      <c r="Q204" s="10" t="s">
        <v>35</v>
      </c>
      <c r="R204" s="10" t="s">
        <v>36</v>
      </c>
      <c r="S204" s="11" t="s">
        <v>37</v>
      </c>
      <c r="T204" s="11" t="s">
        <v>37</v>
      </c>
      <c r="U204" s="11" t="s">
        <v>37</v>
      </c>
      <c r="V204" s="1" t="s">
        <v>764</v>
      </c>
      <c r="W204" s="10" t="s">
        <v>39</v>
      </c>
      <c r="X204" s="10" t="s">
        <v>39</v>
      </c>
    </row>
    <row r="205" customFormat="false" ht="15" hidden="false" customHeight="false" outlineLevel="0" collapsed="false">
      <c r="A205" s="5" t="s">
        <v>765</v>
      </c>
      <c r="B205" s="5" t="s">
        <v>766</v>
      </c>
      <c r="C205" s="5" t="s">
        <v>26</v>
      </c>
      <c r="D205" s="6" t="str">
        <f aca="false">VLOOKUP(B205,[3]master!$b$6:$V$252,21,0)</f>
        <v>8707267504</v>
      </c>
      <c r="F205" s="7" t="n">
        <v>31852</v>
      </c>
      <c r="G205" s="7" t="n">
        <v>31852</v>
      </c>
      <c r="H205" s="5" t="s">
        <v>27</v>
      </c>
      <c r="I205" s="8" t="s">
        <v>28</v>
      </c>
      <c r="K205" s="5" t="s">
        <v>112</v>
      </c>
      <c r="L205" s="5" t="s">
        <v>30</v>
      </c>
      <c r="M205" s="10" t="s">
        <v>49</v>
      </c>
      <c r="N205" s="10" t="s">
        <v>32</v>
      </c>
      <c r="O205" s="10" t="s">
        <v>71</v>
      </c>
      <c r="P205" s="10" t="s">
        <v>34</v>
      </c>
      <c r="Q205" s="10" t="s">
        <v>35</v>
      </c>
      <c r="R205" s="10" t="s">
        <v>36</v>
      </c>
      <c r="S205" s="11" t="s">
        <v>37</v>
      </c>
      <c r="T205" s="11" t="s">
        <v>37</v>
      </c>
      <c r="U205" s="11" t="s">
        <v>37</v>
      </c>
      <c r="V205" s="1" t="s">
        <v>767</v>
      </c>
      <c r="W205" s="10" t="s">
        <v>39</v>
      </c>
      <c r="X205" s="10" t="s">
        <v>39</v>
      </c>
    </row>
    <row r="206" customFormat="false" ht="15" hidden="false" customHeight="false" outlineLevel="0" collapsed="false">
      <c r="A206" s="5" t="s">
        <v>768</v>
      </c>
      <c r="B206" s="5" t="s">
        <v>769</v>
      </c>
      <c r="C206" s="5" t="s">
        <v>42</v>
      </c>
      <c r="D206" s="6" t="str">
        <f aca="false">VLOOKUP(B206,[3]master!$b$6:$V$252,21,0)</f>
        <v>7768989147</v>
      </c>
      <c r="F206" s="7" t="n">
        <v>26665</v>
      </c>
      <c r="G206" s="7" t="n">
        <v>26665</v>
      </c>
      <c r="H206" s="5" t="s">
        <v>47</v>
      </c>
      <c r="I206" s="8" t="s">
        <v>28</v>
      </c>
      <c r="K206" s="5" t="s">
        <v>112</v>
      </c>
      <c r="L206" s="5" t="s">
        <v>30</v>
      </c>
      <c r="M206" s="10" t="s">
        <v>70</v>
      </c>
      <c r="N206" s="10" t="s">
        <v>32</v>
      </c>
      <c r="O206" s="10" t="s">
        <v>71</v>
      </c>
      <c r="P206" s="10" t="s">
        <v>34</v>
      </c>
      <c r="Q206" s="10" t="s">
        <v>35</v>
      </c>
      <c r="R206" s="10" t="s">
        <v>36</v>
      </c>
      <c r="S206" s="11" t="s">
        <v>37</v>
      </c>
      <c r="T206" s="11" t="s">
        <v>37</v>
      </c>
      <c r="U206" s="11" t="s">
        <v>37</v>
      </c>
      <c r="V206" s="1" t="s">
        <v>770</v>
      </c>
      <c r="W206" s="10" t="s">
        <v>39</v>
      </c>
      <c r="X206" s="10" t="s">
        <v>39</v>
      </c>
    </row>
    <row r="207" customFormat="false" ht="15" hidden="false" customHeight="false" outlineLevel="0" collapsed="false">
      <c r="A207" s="5" t="s">
        <v>771</v>
      </c>
      <c r="B207" s="5" t="s">
        <v>772</v>
      </c>
      <c r="C207" s="5" t="s">
        <v>26</v>
      </c>
      <c r="D207" s="6" t="str">
        <f aca="false">VLOOKUP(B207,[3]master!$b$6:$V$252,21,0)</f>
        <v>7487975091</v>
      </c>
      <c r="F207" s="7" t="n">
        <v>38126</v>
      </c>
      <c r="G207" s="7" t="n">
        <v>38126</v>
      </c>
      <c r="H207" s="5" t="s">
        <v>27</v>
      </c>
      <c r="I207" s="8" t="s">
        <v>28</v>
      </c>
      <c r="K207" s="5" t="s">
        <v>112</v>
      </c>
      <c r="L207" s="5" t="s">
        <v>30</v>
      </c>
      <c r="M207" s="10" t="s">
        <v>113</v>
      </c>
      <c r="N207" s="10" t="s">
        <v>32</v>
      </c>
      <c r="O207" s="10" t="s">
        <v>269</v>
      </c>
      <c r="P207" s="10" t="s">
        <v>34</v>
      </c>
      <c r="Q207" s="10" t="s">
        <v>35</v>
      </c>
      <c r="R207" s="10" t="s">
        <v>36</v>
      </c>
      <c r="S207" s="11" t="s">
        <v>37</v>
      </c>
      <c r="T207" s="11" t="s">
        <v>37</v>
      </c>
      <c r="U207" s="11" t="s">
        <v>37</v>
      </c>
      <c r="V207" s="1" t="s">
        <v>773</v>
      </c>
      <c r="W207" s="10" t="s">
        <v>39</v>
      </c>
      <c r="X207" s="10" t="s">
        <v>39</v>
      </c>
    </row>
    <row r="208" customFormat="false" ht="15" hidden="false" customHeight="false" outlineLevel="0" collapsed="false">
      <c r="A208" s="5" t="s">
        <v>774</v>
      </c>
      <c r="B208" s="5" t="s">
        <v>775</v>
      </c>
      <c r="C208" s="5" t="s">
        <v>26</v>
      </c>
      <c r="D208" s="6" t="str">
        <f aca="false">VLOOKUP(B208,[3]master!$b$6:$V$252,21,0)</f>
        <v>7779097938</v>
      </c>
      <c r="F208" s="7" t="n">
        <v>34167</v>
      </c>
      <c r="G208" s="7" t="n">
        <v>34167</v>
      </c>
      <c r="H208" s="5" t="s">
        <v>54</v>
      </c>
      <c r="I208" s="8" t="s">
        <v>28</v>
      </c>
      <c r="K208" s="5" t="s">
        <v>112</v>
      </c>
      <c r="L208" s="5" t="s">
        <v>30</v>
      </c>
      <c r="M208" s="10" t="s">
        <v>776</v>
      </c>
      <c r="N208" s="10" t="s">
        <v>32</v>
      </c>
      <c r="O208" s="10" t="s">
        <v>777</v>
      </c>
      <c r="P208" s="10" t="s">
        <v>34</v>
      </c>
      <c r="Q208" s="10" t="s">
        <v>35</v>
      </c>
      <c r="R208" s="10" t="s">
        <v>36</v>
      </c>
      <c r="S208" s="11" t="s">
        <v>37</v>
      </c>
      <c r="T208" s="11" t="s">
        <v>37</v>
      </c>
      <c r="U208" s="11" t="s">
        <v>37</v>
      </c>
      <c r="V208" s="1" t="s">
        <v>778</v>
      </c>
      <c r="W208" s="10" t="s">
        <v>39</v>
      </c>
      <c r="X208" s="10" t="s">
        <v>39</v>
      </c>
    </row>
    <row r="209" customFormat="false" ht="15" hidden="false" customHeight="false" outlineLevel="0" collapsed="false">
      <c r="A209" s="5" t="s">
        <v>779</v>
      </c>
      <c r="B209" s="5" t="s">
        <v>780</v>
      </c>
      <c r="C209" s="5" t="s">
        <v>26</v>
      </c>
      <c r="D209" s="6" t="str">
        <f aca="false">VLOOKUP(B209,[3]master!$b$6:$V$252,21,0)</f>
        <v>9925191328</v>
      </c>
      <c r="F209" s="7" t="n">
        <v>29377</v>
      </c>
      <c r="G209" s="7" t="n">
        <v>29377</v>
      </c>
      <c r="H209" s="5" t="s">
        <v>27</v>
      </c>
      <c r="I209" s="8" t="s">
        <v>28</v>
      </c>
      <c r="K209" s="5" t="s">
        <v>112</v>
      </c>
      <c r="L209" s="5" t="s">
        <v>30</v>
      </c>
      <c r="M209" s="10" t="s">
        <v>142</v>
      </c>
      <c r="N209" s="10" t="s">
        <v>32</v>
      </c>
      <c r="O209" s="10" t="s">
        <v>132</v>
      </c>
      <c r="P209" s="10" t="s">
        <v>34</v>
      </c>
      <c r="Q209" s="10" t="s">
        <v>35</v>
      </c>
      <c r="R209" s="10" t="s">
        <v>36</v>
      </c>
      <c r="S209" s="11" t="s">
        <v>37</v>
      </c>
      <c r="T209" s="11" t="s">
        <v>37</v>
      </c>
      <c r="U209" s="11" t="s">
        <v>37</v>
      </c>
      <c r="V209" s="1" t="s">
        <v>781</v>
      </c>
      <c r="W209" s="10" t="s">
        <v>39</v>
      </c>
      <c r="X209" s="10" t="s">
        <v>39</v>
      </c>
    </row>
    <row r="210" customFormat="false" ht="15" hidden="false" customHeight="false" outlineLevel="0" collapsed="false">
      <c r="A210" s="5" t="s">
        <v>782</v>
      </c>
      <c r="B210" s="5" t="s">
        <v>783</v>
      </c>
      <c r="C210" s="5" t="s">
        <v>26</v>
      </c>
      <c r="D210" s="6" t="str">
        <f aca="false">VLOOKUP(B210,[3]master!$b$6:$V$252,21,0)</f>
        <v>8849741892</v>
      </c>
      <c r="F210" s="7" t="n">
        <v>37768</v>
      </c>
      <c r="G210" s="7" t="n">
        <v>37768</v>
      </c>
      <c r="H210" s="5" t="s">
        <v>27</v>
      </c>
      <c r="I210" s="8" t="s">
        <v>28</v>
      </c>
      <c r="K210" s="5" t="s">
        <v>112</v>
      </c>
      <c r="L210" s="5" t="s">
        <v>30</v>
      </c>
      <c r="M210" s="10" t="s">
        <v>113</v>
      </c>
      <c r="N210" s="10" t="s">
        <v>32</v>
      </c>
      <c r="O210" s="10" t="s">
        <v>211</v>
      </c>
      <c r="P210" s="10" t="s">
        <v>34</v>
      </c>
      <c r="Q210" s="10" t="s">
        <v>35</v>
      </c>
      <c r="R210" s="10" t="s">
        <v>36</v>
      </c>
      <c r="S210" s="11" t="s">
        <v>37</v>
      </c>
      <c r="T210" s="11" t="s">
        <v>37</v>
      </c>
      <c r="U210" s="11" t="s">
        <v>37</v>
      </c>
      <c r="V210" s="1" t="s">
        <v>784</v>
      </c>
      <c r="W210" s="10" t="s">
        <v>39</v>
      </c>
      <c r="X210" s="10" t="s">
        <v>39</v>
      </c>
    </row>
    <row r="211" customFormat="false" ht="15" hidden="false" customHeight="false" outlineLevel="0" collapsed="false">
      <c r="A211" s="5" t="s">
        <v>785</v>
      </c>
      <c r="B211" s="5" t="s">
        <v>786</v>
      </c>
      <c r="C211" s="5" t="s">
        <v>42</v>
      </c>
      <c r="D211" s="6" t="str">
        <f aca="false">VLOOKUP(B211,[2]sheet0!$a$3:$D$241,4,0)</f>
        <v>7226898650</v>
      </c>
      <c r="F211" s="7" t="n">
        <v>37988</v>
      </c>
      <c r="G211" s="7" t="n">
        <v>37988</v>
      </c>
      <c r="H211" s="5" t="s">
        <v>27</v>
      </c>
      <c r="I211" s="8" t="s">
        <v>28</v>
      </c>
      <c r="K211" s="5" t="s">
        <v>112</v>
      </c>
      <c r="L211" s="5" t="s">
        <v>30</v>
      </c>
      <c r="M211" s="10" t="s">
        <v>113</v>
      </c>
      <c r="N211" s="10" t="s">
        <v>32</v>
      </c>
      <c r="O211" s="10" t="s">
        <v>787</v>
      </c>
      <c r="P211" s="10" t="s">
        <v>34</v>
      </c>
      <c r="Q211" s="10" t="s">
        <v>35</v>
      </c>
      <c r="R211" s="10" t="s">
        <v>36</v>
      </c>
      <c r="S211" s="11" t="s">
        <v>37</v>
      </c>
      <c r="T211" s="11" t="s">
        <v>37</v>
      </c>
      <c r="U211" s="11" t="s">
        <v>37</v>
      </c>
      <c r="V211" s="1" t="s">
        <v>788</v>
      </c>
      <c r="W211" s="10" t="s">
        <v>39</v>
      </c>
      <c r="X211" s="10" t="s">
        <v>39</v>
      </c>
    </row>
    <row r="212" customFormat="false" ht="15" hidden="false" customHeight="false" outlineLevel="0" collapsed="false">
      <c r="A212" s="5" t="s">
        <v>789</v>
      </c>
      <c r="B212" s="5" t="s">
        <v>790</v>
      </c>
      <c r="C212" s="5" t="s">
        <v>26</v>
      </c>
      <c r="D212" s="6" t="str">
        <f aca="false">VLOOKUP(B212,[3]master!$b$6:$V$252,21,0)</f>
        <v>7984029953</v>
      </c>
      <c r="F212" s="7" t="n">
        <v>30464</v>
      </c>
      <c r="G212" s="7" t="n">
        <v>30464</v>
      </c>
      <c r="H212" s="5" t="s">
        <v>27</v>
      </c>
      <c r="I212" s="8" t="s">
        <v>28</v>
      </c>
      <c r="K212" s="5" t="s">
        <v>112</v>
      </c>
      <c r="L212" s="5" t="s">
        <v>30</v>
      </c>
      <c r="M212" s="10" t="s">
        <v>142</v>
      </c>
      <c r="N212" s="10" t="s">
        <v>32</v>
      </c>
      <c r="O212" s="10" t="s">
        <v>132</v>
      </c>
      <c r="P212" s="10" t="s">
        <v>34</v>
      </c>
      <c r="Q212" s="10" t="s">
        <v>35</v>
      </c>
      <c r="R212" s="10" t="s">
        <v>36</v>
      </c>
      <c r="S212" s="11" t="s">
        <v>37</v>
      </c>
      <c r="T212" s="11" t="s">
        <v>37</v>
      </c>
      <c r="U212" s="11" t="s">
        <v>37</v>
      </c>
      <c r="V212" s="14" t="s">
        <v>791</v>
      </c>
      <c r="W212" s="10" t="s">
        <v>39</v>
      </c>
      <c r="X212" s="10" t="s">
        <v>39</v>
      </c>
    </row>
    <row r="213" customFormat="false" ht="15" hidden="false" customHeight="false" outlineLevel="0" collapsed="false">
      <c r="A213" s="5" t="s">
        <v>792</v>
      </c>
      <c r="B213" s="5" t="s">
        <v>793</v>
      </c>
      <c r="C213" s="5" t="s">
        <v>26</v>
      </c>
      <c r="D213" s="6" t="str">
        <f aca="false">VLOOKUP(B213,[3]master!$b$6:$V$252,21,0)</f>
        <v>9687835041</v>
      </c>
      <c r="F213" s="7" t="n">
        <v>21217</v>
      </c>
      <c r="G213" s="7" t="n">
        <v>21217</v>
      </c>
      <c r="H213" s="5" t="s">
        <v>27</v>
      </c>
      <c r="I213" s="8" t="s">
        <v>28</v>
      </c>
      <c r="K213" s="5" t="s">
        <v>112</v>
      </c>
      <c r="L213" s="5" t="s">
        <v>30</v>
      </c>
      <c r="M213" s="10" t="s">
        <v>70</v>
      </c>
      <c r="N213" s="10" t="s">
        <v>32</v>
      </c>
      <c r="O213" s="10" t="s">
        <v>794</v>
      </c>
      <c r="P213" s="10" t="s">
        <v>34</v>
      </c>
      <c r="Q213" s="10" t="s">
        <v>35</v>
      </c>
      <c r="R213" s="10" t="s">
        <v>36</v>
      </c>
      <c r="S213" s="11" t="s">
        <v>37</v>
      </c>
      <c r="T213" s="11" t="s">
        <v>37</v>
      </c>
      <c r="U213" s="11" t="s">
        <v>37</v>
      </c>
      <c r="V213" s="14" t="s">
        <v>795</v>
      </c>
      <c r="W213" s="10" t="s">
        <v>39</v>
      </c>
      <c r="X213" s="10" t="s">
        <v>39</v>
      </c>
    </row>
    <row r="214" customFormat="false" ht="15" hidden="false" customHeight="false" outlineLevel="0" collapsed="false">
      <c r="A214" s="5" t="s">
        <v>796</v>
      </c>
      <c r="B214" s="5" t="s">
        <v>797</v>
      </c>
      <c r="C214" s="5" t="s">
        <v>26</v>
      </c>
      <c r="D214" s="6" t="str">
        <f aca="false">VLOOKUP(B214,[3]master!$b$6:$V$252,21,0)</f>
        <v>8460640070</v>
      </c>
      <c r="F214" s="7" t="n">
        <v>32420</v>
      </c>
      <c r="G214" s="7" t="n">
        <v>32420</v>
      </c>
      <c r="H214" s="5" t="s">
        <v>27</v>
      </c>
      <c r="I214" s="8" t="s">
        <v>28</v>
      </c>
      <c r="K214" s="5" t="s">
        <v>112</v>
      </c>
      <c r="L214" s="5" t="s">
        <v>30</v>
      </c>
      <c r="M214" s="10" t="s">
        <v>776</v>
      </c>
      <c r="N214" s="10" t="s">
        <v>32</v>
      </c>
      <c r="O214" s="10" t="s">
        <v>798</v>
      </c>
      <c r="P214" s="10" t="s">
        <v>34</v>
      </c>
      <c r="Q214" s="10" t="s">
        <v>35</v>
      </c>
      <c r="R214" s="10" t="s">
        <v>36</v>
      </c>
      <c r="S214" s="11" t="s">
        <v>37</v>
      </c>
      <c r="T214" s="11" t="s">
        <v>37</v>
      </c>
      <c r="U214" s="11" t="s">
        <v>37</v>
      </c>
      <c r="V214" s="1" t="s">
        <v>799</v>
      </c>
      <c r="W214" s="10" t="s">
        <v>39</v>
      </c>
      <c r="X214" s="10" t="s">
        <v>39</v>
      </c>
    </row>
    <row r="215" customFormat="false" ht="15" hidden="false" customHeight="false" outlineLevel="0" collapsed="false">
      <c r="A215" s="5" t="s">
        <v>800</v>
      </c>
      <c r="B215" s="5" t="s">
        <v>801</v>
      </c>
      <c r="C215" s="5" t="s">
        <v>26</v>
      </c>
      <c r="D215" s="6" t="str">
        <f aca="false">VLOOKUP(B215,[3]master!$b$6:$V$252,21,0)</f>
        <v>9638864033</v>
      </c>
      <c r="F215" s="7" t="n">
        <v>28126</v>
      </c>
      <c r="G215" s="7" t="n">
        <v>28126</v>
      </c>
      <c r="H215" s="5" t="s">
        <v>27</v>
      </c>
      <c r="I215" s="8" t="s">
        <v>28</v>
      </c>
      <c r="K215" s="5" t="s">
        <v>112</v>
      </c>
      <c r="L215" s="5" t="s">
        <v>30</v>
      </c>
      <c r="M215" s="10" t="s">
        <v>70</v>
      </c>
      <c r="N215" s="10" t="s">
        <v>32</v>
      </c>
      <c r="O215" s="10" t="s">
        <v>794</v>
      </c>
      <c r="P215" s="10" t="s">
        <v>34</v>
      </c>
      <c r="Q215" s="10" t="s">
        <v>35</v>
      </c>
      <c r="R215" s="10" t="s">
        <v>36</v>
      </c>
      <c r="S215" s="11" t="s">
        <v>37</v>
      </c>
      <c r="T215" s="11" t="s">
        <v>37</v>
      </c>
      <c r="U215" s="11" t="s">
        <v>37</v>
      </c>
      <c r="V215" s="14" t="s">
        <v>802</v>
      </c>
      <c r="W215" s="10" t="s">
        <v>39</v>
      </c>
      <c r="X215" s="10" t="s">
        <v>39</v>
      </c>
    </row>
    <row r="216" customFormat="false" ht="15" hidden="false" customHeight="false" outlineLevel="0" collapsed="false">
      <c r="A216" s="5" t="s">
        <v>803</v>
      </c>
      <c r="B216" s="5" t="s">
        <v>804</v>
      </c>
      <c r="C216" s="5" t="s">
        <v>26</v>
      </c>
      <c r="D216" s="6" t="str">
        <f aca="false">VLOOKUP(B216,[2]sheet0!$a$3:$D$241,4,0)</f>
        <v>9879987467</v>
      </c>
      <c r="F216" s="7" t="n">
        <v>27912</v>
      </c>
      <c r="G216" s="7" t="n">
        <v>27912</v>
      </c>
      <c r="H216" s="5" t="s">
        <v>47</v>
      </c>
      <c r="I216" s="8" t="s">
        <v>28</v>
      </c>
      <c r="K216" s="5" t="s">
        <v>112</v>
      </c>
      <c r="L216" s="5" t="s">
        <v>30</v>
      </c>
      <c r="M216" s="10" t="s">
        <v>142</v>
      </c>
      <c r="N216" s="10" t="s">
        <v>32</v>
      </c>
      <c r="O216" s="10" t="s">
        <v>128</v>
      </c>
      <c r="P216" s="10" t="s">
        <v>34</v>
      </c>
      <c r="Q216" s="10" t="s">
        <v>35</v>
      </c>
      <c r="R216" s="10" t="s">
        <v>36</v>
      </c>
      <c r="S216" s="11" t="s">
        <v>37</v>
      </c>
      <c r="T216" s="11" t="s">
        <v>37</v>
      </c>
      <c r="U216" s="11" t="s">
        <v>37</v>
      </c>
      <c r="V216" s="14" t="s">
        <v>805</v>
      </c>
      <c r="W216" s="10" t="s">
        <v>39</v>
      </c>
      <c r="X216" s="10" t="s">
        <v>39</v>
      </c>
    </row>
    <row r="217" customFormat="false" ht="15" hidden="false" customHeight="false" outlineLevel="0" collapsed="false">
      <c r="A217" s="5" t="s">
        <v>806</v>
      </c>
      <c r="B217" s="5" t="s">
        <v>807</v>
      </c>
      <c r="C217" s="5" t="s">
        <v>42</v>
      </c>
      <c r="D217" s="6" t="n">
        <v>9029615251</v>
      </c>
      <c r="F217" s="7" t="n">
        <v>32643</v>
      </c>
      <c r="G217" s="7" t="n">
        <v>32643</v>
      </c>
      <c r="H217" s="5" t="s">
        <v>47</v>
      </c>
      <c r="I217" s="8" t="s">
        <v>28</v>
      </c>
      <c r="K217" s="5" t="s">
        <v>112</v>
      </c>
      <c r="L217" s="5" t="s">
        <v>30</v>
      </c>
      <c r="M217" s="10" t="s">
        <v>123</v>
      </c>
      <c r="N217" s="10" t="s">
        <v>32</v>
      </c>
      <c r="O217" s="10" t="s">
        <v>98</v>
      </c>
      <c r="P217" s="10" t="s">
        <v>34</v>
      </c>
      <c r="Q217" s="10" t="s">
        <v>35</v>
      </c>
      <c r="R217" s="10" t="s">
        <v>36</v>
      </c>
      <c r="S217" s="11" t="s">
        <v>37</v>
      </c>
      <c r="T217" s="11" t="s">
        <v>37</v>
      </c>
      <c r="U217" s="11" t="s">
        <v>37</v>
      </c>
      <c r="V217" s="1" t="s">
        <v>124</v>
      </c>
      <c r="W217" s="10" t="s">
        <v>39</v>
      </c>
      <c r="X217" s="10" t="s">
        <v>39</v>
      </c>
    </row>
    <row r="218" customFormat="false" ht="15" hidden="false" customHeight="false" outlineLevel="0" collapsed="false">
      <c r="A218" s="5" t="s">
        <v>808</v>
      </c>
      <c r="B218" s="5" t="s">
        <v>809</v>
      </c>
      <c r="C218" s="5" t="s">
        <v>26</v>
      </c>
      <c r="D218" s="6" t="str">
        <f aca="false">VLOOKUP(B218,[2]sheet0!$a$3:$D$241,4,0)</f>
        <v>7359212925</v>
      </c>
      <c r="F218" s="7" t="n">
        <v>35624</v>
      </c>
      <c r="G218" s="7" t="n">
        <v>35624</v>
      </c>
      <c r="H218" s="5" t="s">
        <v>810</v>
      </c>
      <c r="I218" s="8" t="s">
        <v>28</v>
      </c>
      <c r="K218" s="5" t="s">
        <v>112</v>
      </c>
      <c r="L218" s="5" t="s">
        <v>30</v>
      </c>
      <c r="M218" s="10" t="s">
        <v>811</v>
      </c>
      <c r="N218" s="10" t="s">
        <v>32</v>
      </c>
      <c r="O218" s="10" t="s">
        <v>812</v>
      </c>
      <c r="P218" s="10" t="s">
        <v>34</v>
      </c>
      <c r="Q218" s="10" t="s">
        <v>35</v>
      </c>
      <c r="R218" s="10" t="s">
        <v>36</v>
      </c>
      <c r="S218" s="11" t="s">
        <v>37</v>
      </c>
      <c r="T218" s="11" t="s">
        <v>37</v>
      </c>
      <c r="U218" s="11" t="s">
        <v>37</v>
      </c>
      <c r="V218" s="1" t="s">
        <v>813</v>
      </c>
      <c r="W218" s="10" t="s">
        <v>39</v>
      </c>
      <c r="X218" s="10" t="s">
        <v>39</v>
      </c>
    </row>
    <row r="219" customFormat="false" ht="15" hidden="false" customHeight="false" outlineLevel="0" collapsed="false">
      <c r="A219" s="5" t="s">
        <v>814</v>
      </c>
      <c r="B219" s="5" t="s">
        <v>815</v>
      </c>
      <c r="C219" s="5" t="s">
        <v>42</v>
      </c>
      <c r="D219" s="6" t="str">
        <f aca="false">VLOOKUP(B219,[3]master!$b$6:$V$252,21,0)</f>
        <v>9265581334</v>
      </c>
      <c r="F219" s="7" t="n">
        <v>36116</v>
      </c>
      <c r="G219" s="7" t="n">
        <v>36116</v>
      </c>
      <c r="H219" s="5" t="s">
        <v>27</v>
      </c>
      <c r="I219" s="8" t="s">
        <v>28</v>
      </c>
      <c r="K219" s="5" t="s">
        <v>112</v>
      </c>
      <c r="L219" s="5" t="s">
        <v>30</v>
      </c>
      <c r="M219" s="10" t="s">
        <v>455</v>
      </c>
      <c r="N219" s="10" t="s">
        <v>32</v>
      </c>
      <c r="O219" s="10" t="s">
        <v>816</v>
      </c>
      <c r="P219" s="10" t="s">
        <v>34</v>
      </c>
      <c r="Q219" s="10" t="s">
        <v>35</v>
      </c>
      <c r="R219" s="10" t="s">
        <v>36</v>
      </c>
      <c r="S219" s="11" t="s">
        <v>37</v>
      </c>
      <c r="T219" s="11" t="s">
        <v>37</v>
      </c>
      <c r="U219" s="11" t="s">
        <v>37</v>
      </c>
      <c r="V219" s="1" t="s">
        <v>817</v>
      </c>
      <c r="W219" s="10" t="s">
        <v>39</v>
      </c>
      <c r="X219" s="10" t="s">
        <v>39</v>
      </c>
    </row>
    <row r="220" customFormat="false" ht="15" hidden="false" customHeight="false" outlineLevel="0" collapsed="false">
      <c r="A220" s="5" t="s">
        <v>818</v>
      </c>
      <c r="B220" s="5" t="s">
        <v>819</v>
      </c>
      <c r="C220" s="5" t="s">
        <v>26</v>
      </c>
      <c r="D220" s="6" t="str">
        <f aca="false">VLOOKUP(B220,[2]sheet0!$a$3:$D$241,4,0)</f>
        <v>8141492842</v>
      </c>
      <c r="F220" s="7" t="n">
        <v>38296</v>
      </c>
      <c r="G220" s="7" t="n">
        <v>38296</v>
      </c>
      <c r="H220" s="5" t="s">
        <v>27</v>
      </c>
      <c r="I220" s="8" t="s">
        <v>28</v>
      </c>
      <c r="K220" s="5" t="s">
        <v>112</v>
      </c>
      <c r="L220" s="5" t="s">
        <v>30</v>
      </c>
      <c r="M220" s="10" t="s">
        <v>142</v>
      </c>
      <c r="N220" s="10" t="s">
        <v>32</v>
      </c>
      <c r="O220" s="10" t="s">
        <v>132</v>
      </c>
      <c r="P220" s="10" t="s">
        <v>34</v>
      </c>
      <c r="Q220" s="10" t="s">
        <v>35</v>
      </c>
      <c r="R220" s="10" t="s">
        <v>36</v>
      </c>
      <c r="S220" s="11" t="s">
        <v>37</v>
      </c>
      <c r="T220" s="11" t="s">
        <v>37</v>
      </c>
      <c r="U220" s="11" t="s">
        <v>37</v>
      </c>
      <c r="V220" s="14" t="s">
        <v>820</v>
      </c>
      <c r="W220" s="10" t="s">
        <v>39</v>
      </c>
      <c r="X220" s="10" t="s">
        <v>39</v>
      </c>
    </row>
    <row r="221" customFormat="false" ht="15" hidden="false" customHeight="false" outlineLevel="0" collapsed="false">
      <c r="A221" s="5" t="s">
        <v>821</v>
      </c>
      <c r="B221" s="5" t="s">
        <v>822</v>
      </c>
      <c r="C221" s="5" t="s">
        <v>26</v>
      </c>
      <c r="D221" s="6" t="str">
        <f aca="false">VLOOKUP(B221,[3]master!$b$6:$V$252,21,0)</f>
        <v>8409987333</v>
      </c>
      <c r="F221" s="7" t="n">
        <v>35836</v>
      </c>
      <c r="G221" s="7" t="n">
        <v>35836</v>
      </c>
      <c r="H221" s="5" t="s">
        <v>27</v>
      </c>
      <c r="I221" s="8" t="s">
        <v>28</v>
      </c>
      <c r="K221" s="5" t="s">
        <v>112</v>
      </c>
      <c r="L221" s="5" t="s">
        <v>30</v>
      </c>
      <c r="M221" s="10" t="s">
        <v>455</v>
      </c>
      <c r="N221" s="10" t="s">
        <v>32</v>
      </c>
      <c r="O221" s="10" t="s">
        <v>823</v>
      </c>
      <c r="P221" s="10" t="s">
        <v>34</v>
      </c>
      <c r="Q221" s="10" t="s">
        <v>35</v>
      </c>
      <c r="R221" s="10" t="s">
        <v>36</v>
      </c>
      <c r="S221" s="11" t="s">
        <v>37</v>
      </c>
      <c r="T221" s="11" t="s">
        <v>37</v>
      </c>
      <c r="U221" s="11" t="s">
        <v>37</v>
      </c>
      <c r="V221" s="1" t="s">
        <v>824</v>
      </c>
      <c r="W221" s="10" t="s">
        <v>39</v>
      </c>
      <c r="X221" s="10" t="s">
        <v>39</v>
      </c>
    </row>
    <row r="222" customFormat="false" ht="15" hidden="false" customHeight="false" outlineLevel="0" collapsed="false">
      <c r="A222" s="5" t="s">
        <v>825</v>
      </c>
      <c r="B222" s="5" t="s">
        <v>826</v>
      </c>
      <c r="C222" s="5" t="s">
        <v>26</v>
      </c>
      <c r="D222" s="6" t="str">
        <f aca="false">VLOOKUP(B222,[3]master!$b$6:$V$252,21,0)</f>
        <v>9913513717</v>
      </c>
      <c r="F222" s="7" t="n">
        <v>33597</v>
      </c>
      <c r="G222" s="7" t="n">
        <v>33597</v>
      </c>
      <c r="H222" s="5" t="s">
        <v>27</v>
      </c>
      <c r="I222" s="8" t="s">
        <v>28</v>
      </c>
      <c r="K222" s="5" t="s">
        <v>112</v>
      </c>
      <c r="L222" s="5" t="s">
        <v>30</v>
      </c>
      <c r="M222" s="10" t="s">
        <v>70</v>
      </c>
      <c r="N222" s="10" t="s">
        <v>32</v>
      </c>
      <c r="O222" s="10" t="s">
        <v>529</v>
      </c>
      <c r="P222" s="10" t="s">
        <v>34</v>
      </c>
      <c r="Q222" s="10" t="s">
        <v>35</v>
      </c>
      <c r="R222" s="10" t="s">
        <v>36</v>
      </c>
      <c r="S222" s="11" t="s">
        <v>37</v>
      </c>
      <c r="T222" s="11" t="s">
        <v>37</v>
      </c>
      <c r="U222" s="11" t="s">
        <v>37</v>
      </c>
      <c r="V222" s="14" t="s">
        <v>827</v>
      </c>
      <c r="W222" s="10" t="s">
        <v>39</v>
      </c>
      <c r="X222" s="10" t="s">
        <v>39</v>
      </c>
    </row>
    <row r="223" customFormat="false" ht="15" hidden="false" customHeight="false" outlineLevel="0" collapsed="false">
      <c r="A223" s="5" t="s">
        <v>828</v>
      </c>
      <c r="B223" s="5" t="s">
        <v>829</v>
      </c>
      <c r="C223" s="5" t="s">
        <v>26</v>
      </c>
      <c r="D223" s="6" t="str">
        <f aca="false">VLOOKUP(B223,[2]sheet0!$a$3:$D$241,4,0)</f>
        <v>9510018917</v>
      </c>
      <c r="F223" s="7" t="n">
        <v>38204</v>
      </c>
      <c r="G223" s="7" t="n">
        <v>38204</v>
      </c>
      <c r="H223" s="5" t="s">
        <v>27</v>
      </c>
      <c r="I223" s="8" t="s">
        <v>28</v>
      </c>
      <c r="K223" s="5" t="s">
        <v>112</v>
      </c>
      <c r="L223" s="5" t="s">
        <v>30</v>
      </c>
      <c r="M223" s="10" t="s">
        <v>113</v>
      </c>
      <c r="N223" s="10" t="s">
        <v>32</v>
      </c>
      <c r="O223" s="10" t="s">
        <v>269</v>
      </c>
      <c r="P223" s="10" t="s">
        <v>34</v>
      </c>
      <c r="Q223" s="10" t="s">
        <v>35</v>
      </c>
      <c r="R223" s="10" t="s">
        <v>36</v>
      </c>
      <c r="S223" s="11" t="s">
        <v>37</v>
      </c>
      <c r="T223" s="11" t="s">
        <v>37</v>
      </c>
      <c r="U223" s="11" t="s">
        <v>37</v>
      </c>
      <c r="V223" s="14" t="s">
        <v>830</v>
      </c>
      <c r="W223" s="10" t="s">
        <v>39</v>
      </c>
      <c r="X223" s="10" t="s">
        <v>39</v>
      </c>
    </row>
    <row r="224" customFormat="false" ht="15" hidden="false" customHeight="false" outlineLevel="0" collapsed="false">
      <c r="A224" s="5" t="s">
        <v>831</v>
      </c>
      <c r="B224" s="5" t="s">
        <v>832</v>
      </c>
      <c r="C224" s="5" t="s">
        <v>26</v>
      </c>
      <c r="D224" s="6" t="str">
        <f aca="false">VLOOKUP(B224,[2]sheet0!$a$3:$D$241,4,0)</f>
        <v>8732924011</v>
      </c>
      <c r="F224" s="7" t="n">
        <v>36810</v>
      </c>
      <c r="G224" s="7" t="n">
        <v>36810</v>
      </c>
      <c r="H224" s="5" t="s">
        <v>27</v>
      </c>
      <c r="I224" s="8" t="s">
        <v>28</v>
      </c>
      <c r="K224" s="5" t="s">
        <v>112</v>
      </c>
      <c r="L224" s="5" t="s">
        <v>30</v>
      </c>
      <c r="M224" s="10" t="s">
        <v>142</v>
      </c>
      <c r="N224" s="10" t="s">
        <v>32</v>
      </c>
      <c r="O224" s="10" t="s">
        <v>155</v>
      </c>
      <c r="P224" s="10" t="s">
        <v>34</v>
      </c>
      <c r="Q224" s="10" t="s">
        <v>35</v>
      </c>
      <c r="R224" s="10" t="s">
        <v>36</v>
      </c>
      <c r="S224" s="11" t="s">
        <v>37</v>
      </c>
      <c r="T224" s="11" t="s">
        <v>37</v>
      </c>
      <c r="U224" s="11" t="s">
        <v>37</v>
      </c>
      <c r="V224" s="14" t="s">
        <v>833</v>
      </c>
      <c r="W224" s="10" t="s">
        <v>39</v>
      </c>
      <c r="X224" s="10" t="s">
        <v>39</v>
      </c>
    </row>
    <row r="225" customFormat="false" ht="15" hidden="false" customHeight="false" outlineLevel="0" collapsed="false">
      <c r="A225" s="5" t="s">
        <v>834</v>
      </c>
      <c r="B225" s="5" t="s">
        <v>835</v>
      </c>
      <c r="C225" s="5" t="s">
        <v>26</v>
      </c>
      <c r="D225" s="6" t="str">
        <f aca="false">VLOOKUP(B225,[3]master!$b$6:$V$252,21,0)</f>
        <v>7226836270</v>
      </c>
      <c r="F225" s="7" t="n">
        <v>27075</v>
      </c>
      <c r="G225" s="7" t="n">
        <v>27075</v>
      </c>
      <c r="H225" s="5" t="s">
        <v>27</v>
      </c>
      <c r="I225" s="8" t="s">
        <v>28</v>
      </c>
      <c r="K225" s="5" t="s">
        <v>112</v>
      </c>
      <c r="L225" s="5" t="s">
        <v>30</v>
      </c>
      <c r="M225" s="10" t="s">
        <v>49</v>
      </c>
      <c r="N225" s="10" t="s">
        <v>32</v>
      </c>
      <c r="O225" s="10" t="s">
        <v>448</v>
      </c>
      <c r="P225" s="10" t="s">
        <v>34</v>
      </c>
      <c r="Q225" s="10" t="s">
        <v>35</v>
      </c>
      <c r="R225" s="10" t="s">
        <v>36</v>
      </c>
      <c r="S225" s="11" t="s">
        <v>37</v>
      </c>
      <c r="T225" s="11" t="s">
        <v>37</v>
      </c>
      <c r="U225" s="11" t="s">
        <v>37</v>
      </c>
      <c r="V225" s="14" t="s">
        <v>836</v>
      </c>
      <c r="W225" s="10" t="s">
        <v>39</v>
      </c>
      <c r="X225" s="10" t="s">
        <v>39</v>
      </c>
    </row>
    <row r="226" customFormat="false" ht="15" hidden="false" customHeight="false" outlineLevel="0" collapsed="false">
      <c r="A226" s="5" t="s">
        <v>837</v>
      </c>
      <c r="B226" s="5" t="s">
        <v>838</v>
      </c>
      <c r="C226" s="5" t="s">
        <v>26</v>
      </c>
      <c r="D226" s="6" t="str">
        <f aca="false">VLOOKUP(B226,[3]master!$b$6:$V$252,21,0)</f>
        <v>8108887882</v>
      </c>
      <c r="F226" s="7" t="n">
        <v>35355</v>
      </c>
      <c r="G226" s="7" t="n">
        <v>35355</v>
      </c>
      <c r="H226" s="5" t="s">
        <v>27</v>
      </c>
      <c r="I226" s="8" t="s">
        <v>28</v>
      </c>
      <c r="K226" s="5" t="s">
        <v>112</v>
      </c>
      <c r="L226" s="5" t="s">
        <v>30</v>
      </c>
      <c r="M226" s="10" t="s">
        <v>455</v>
      </c>
      <c r="N226" s="10" t="s">
        <v>32</v>
      </c>
      <c r="O226" s="10" t="s">
        <v>823</v>
      </c>
      <c r="P226" s="10" t="s">
        <v>34</v>
      </c>
      <c r="Q226" s="10" t="s">
        <v>35</v>
      </c>
      <c r="R226" s="10" t="s">
        <v>36</v>
      </c>
      <c r="S226" s="11" t="s">
        <v>37</v>
      </c>
      <c r="T226" s="11" t="s">
        <v>37</v>
      </c>
      <c r="U226" s="11" t="s">
        <v>37</v>
      </c>
      <c r="V226" s="1" t="s">
        <v>839</v>
      </c>
      <c r="W226" s="10" t="s">
        <v>39</v>
      </c>
      <c r="X226" s="10" t="s">
        <v>39</v>
      </c>
    </row>
    <row r="227" customFormat="false" ht="15" hidden="false" customHeight="false" outlineLevel="0" collapsed="false">
      <c r="A227" s="5" t="s">
        <v>840</v>
      </c>
      <c r="B227" s="5" t="s">
        <v>841</v>
      </c>
      <c r="C227" s="5" t="s">
        <v>26</v>
      </c>
      <c r="D227" s="6" t="str">
        <f aca="false">VLOOKUP(B227,[3]master!$b$6:$V$252,21,0)</f>
        <v>9925893678</v>
      </c>
      <c r="F227" s="7" t="n">
        <v>32203</v>
      </c>
      <c r="G227" s="7" t="n">
        <v>32203</v>
      </c>
      <c r="H227" s="5" t="s">
        <v>27</v>
      </c>
      <c r="I227" s="8" t="s">
        <v>28</v>
      </c>
      <c r="K227" s="5" t="s">
        <v>112</v>
      </c>
      <c r="L227" s="5" t="s">
        <v>30</v>
      </c>
      <c r="M227" s="10" t="s">
        <v>113</v>
      </c>
      <c r="N227" s="10" t="s">
        <v>32</v>
      </c>
      <c r="O227" s="10" t="s">
        <v>114</v>
      </c>
      <c r="P227" s="10" t="s">
        <v>34</v>
      </c>
      <c r="Q227" s="10" t="s">
        <v>35</v>
      </c>
      <c r="R227" s="10" t="s">
        <v>36</v>
      </c>
      <c r="S227" s="11" t="s">
        <v>37</v>
      </c>
      <c r="T227" s="11" t="s">
        <v>37</v>
      </c>
      <c r="U227" s="11" t="s">
        <v>37</v>
      </c>
      <c r="V227" s="14" t="s">
        <v>842</v>
      </c>
      <c r="W227" s="10" t="s">
        <v>39</v>
      </c>
      <c r="X227" s="10" t="s">
        <v>39</v>
      </c>
    </row>
    <row r="228" customFormat="false" ht="15" hidden="false" customHeight="false" outlineLevel="0" collapsed="false">
      <c r="A228" s="5" t="s">
        <v>843</v>
      </c>
      <c r="B228" s="5" t="s">
        <v>844</v>
      </c>
      <c r="C228" s="5" t="s">
        <v>26</v>
      </c>
      <c r="D228" s="6" t="str">
        <f aca="false">VLOOKUP(B228,[3]master!$b$6:$V$252,21,0)</f>
        <v>9484578959</v>
      </c>
      <c r="F228" s="7" t="n">
        <v>37387</v>
      </c>
      <c r="G228" s="7" t="n">
        <v>37387</v>
      </c>
      <c r="H228" s="5" t="s">
        <v>47</v>
      </c>
      <c r="I228" s="8" t="s">
        <v>28</v>
      </c>
      <c r="K228" s="5" t="s">
        <v>112</v>
      </c>
      <c r="L228" s="5" t="s">
        <v>30</v>
      </c>
      <c r="M228" s="10" t="s">
        <v>49</v>
      </c>
      <c r="N228" s="10" t="s">
        <v>32</v>
      </c>
      <c r="O228" s="10" t="s">
        <v>845</v>
      </c>
      <c r="P228" s="10" t="s">
        <v>34</v>
      </c>
      <c r="Q228" s="10" t="s">
        <v>35</v>
      </c>
      <c r="R228" s="10" t="s">
        <v>36</v>
      </c>
      <c r="S228" s="11" t="s">
        <v>37</v>
      </c>
      <c r="T228" s="11" t="s">
        <v>37</v>
      </c>
      <c r="U228" s="11" t="s">
        <v>37</v>
      </c>
      <c r="V228" s="1" t="s">
        <v>846</v>
      </c>
      <c r="W228" s="10" t="s">
        <v>39</v>
      </c>
      <c r="X228" s="10" t="s">
        <v>39</v>
      </c>
    </row>
    <row r="229" customFormat="false" ht="15" hidden="false" customHeight="false" outlineLevel="0" collapsed="false">
      <c r="A229" s="5" t="s">
        <v>847</v>
      </c>
      <c r="B229" s="5" t="s">
        <v>848</v>
      </c>
      <c r="C229" s="5" t="s">
        <v>26</v>
      </c>
      <c r="D229" s="6" t="str">
        <f aca="false">VLOOKUP(B229,[2]sheet0!$a$3:$D$241,4,0)</f>
        <v>7990871952</v>
      </c>
      <c r="F229" s="7" t="n">
        <v>38065</v>
      </c>
      <c r="G229" s="7" t="n">
        <v>38065</v>
      </c>
      <c r="H229" s="5" t="s">
        <v>47</v>
      </c>
      <c r="I229" s="8" t="s">
        <v>28</v>
      </c>
      <c r="K229" s="5" t="s">
        <v>112</v>
      </c>
      <c r="L229" s="5" t="s">
        <v>30</v>
      </c>
      <c r="M229" s="10" t="s">
        <v>113</v>
      </c>
      <c r="N229" s="10" t="s">
        <v>32</v>
      </c>
      <c r="O229" s="10" t="s">
        <v>269</v>
      </c>
      <c r="P229" s="10" t="s">
        <v>34</v>
      </c>
      <c r="Q229" s="10" t="s">
        <v>35</v>
      </c>
      <c r="R229" s="10" t="s">
        <v>36</v>
      </c>
      <c r="S229" s="11" t="s">
        <v>37</v>
      </c>
      <c r="T229" s="11" t="s">
        <v>37</v>
      </c>
      <c r="U229" s="11" t="s">
        <v>37</v>
      </c>
      <c r="V229" s="14" t="s">
        <v>849</v>
      </c>
      <c r="W229" s="10" t="s">
        <v>39</v>
      </c>
      <c r="X229" s="10" t="s">
        <v>39</v>
      </c>
    </row>
    <row r="230" customFormat="false" ht="15" hidden="false" customHeight="false" outlineLevel="0" collapsed="false">
      <c r="A230" s="5" t="s">
        <v>850</v>
      </c>
      <c r="B230" s="5" t="s">
        <v>851</v>
      </c>
      <c r="C230" s="5" t="s">
        <v>26</v>
      </c>
      <c r="D230" s="6" t="str">
        <f aca="false">VLOOKUP(B230,[3]master!$b$6:$V$252,21,0)</f>
        <v>8547542870</v>
      </c>
      <c r="F230" s="7" t="n">
        <v>35886</v>
      </c>
      <c r="G230" s="7" t="n">
        <v>35886</v>
      </c>
      <c r="H230" s="5" t="s">
        <v>27</v>
      </c>
      <c r="I230" s="8" t="s">
        <v>28</v>
      </c>
      <c r="K230" s="5" t="s">
        <v>112</v>
      </c>
      <c r="L230" s="5" t="s">
        <v>30</v>
      </c>
      <c r="M230" s="10" t="s">
        <v>455</v>
      </c>
      <c r="N230" s="10" t="s">
        <v>32</v>
      </c>
      <c r="O230" s="10" t="s">
        <v>852</v>
      </c>
      <c r="P230" s="10" t="s">
        <v>34</v>
      </c>
      <c r="Q230" s="10" t="s">
        <v>35</v>
      </c>
      <c r="R230" s="10" t="s">
        <v>36</v>
      </c>
      <c r="S230" s="11" t="s">
        <v>37</v>
      </c>
      <c r="T230" s="11" t="s">
        <v>37</v>
      </c>
      <c r="U230" s="11" t="s">
        <v>37</v>
      </c>
      <c r="V230" s="1" t="s">
        <v>853</v>
      </c>
      <c r="W230" s="10" t="s">
        <v>39</v>
      </c>
      <c r="X230" s="10" t="s">
        <v>39</v>
      </c>
    </row>
    <row r="231" customFormat="false" ht="15" hidden="false" customHeight="false" outlineLevel="0" collapsed="false">
      <c r="A231" s="5" t="s">
        <v>854</v>
      </c>
      <c r="B231" s="5" t="s">
        <v>855</v>
      </c>
      <c r="C231" s="5" t="s">
        <v>26</v>
      </c>
      <c r="D231" s="6" t="str">
        <f aca="false">VLOOKUP(B231,[3]master!$b$6:$V$252,21,0)</f>
        <v>9559786604</v>
      </c>
      <c r="F231" s="7" t="n">
        <v>37269</v>
      </c>
      <c r="G231" s="7" t="n">
        <v>37269</v>
      </c>
      <c r="H231" s="5" t="s">
        <v>27</v>
      </c>
      <c r="I231" s="8" t="s">
        <v>28</v>
      </c>
      <c r="K231" s="5" t="s">
        <v>112</v>
      </c>
      <c r="L231" s="5" t="s">
        <v>30</v>
      </c>
      <c r="M231" s="10" t="s">
        <v>142</v>
      </c>
      <c r="N231" s="10" t="s">
        <v>32</v>
      </c>
      <c r="O231" s="10" t="s">
        <v>856</v>
      </c>
      <c r="P231" s="10" t="s">
        <v>34</v>
      </c>
      <c r="Q231" s="10" t="s">
        <v>35</v>
      </c>
      <c r="R231" s="10" t="s">
        <v>36</v>
      </c>
      <c r="S231" s="11" t="s">
        <v>37</v>
      </c>
      <c r="T231" s="11" t="s">
        <v>37</v>
      </c>
      <c r="U231" s="11" t="s">
        <v>37</v>
      </c>
      <c r="V231" s="1" t="s">
        <v>857</v>
      </c>
      <c r="W231" s="10" t="s">
        <v>39</v>
      </c>
      <c r="X231" s="10" t="s">
        <v>39</v>
      </c>
    </row>
    <row r="232" customFormat="false" ht="15" hidden="false" customHeight="false" outlineLevel="0" collapsed="false">
      <c r="A232" s="5" t="s">
        <v>858</v>
      </c>
      <c r="B232" s="5" t="s">
        <v>859</v>
      </c>
      <c r="C232" s="5" t="s">
        <v>26</v>
      </c>
      <c r="D232" s="6" t="str">
        <f aca="false">VLOOKUP(B232,[2]sheet0!$a$3:$D$241,4,0)</f>
        <v>9327601830</v>
      </c>
      <c r="F232" s="7" t="n">
        <v>33529</v>
      </c>
      <c r="G232" s="7" t="n">
        <v>33529</v>
      </c>
      <c r="H232" s="5" t="s">
        <v>27</v>
      </c>
      <c r="I232" s="8" t="s">
        <v>28</v>
      </c>
      <c r="K232" s="5" t="s">
        <v>112</v>
      </c>
      <c r="L232" s="5" t="s">
        <v>30</v>
      </c>
      <c r="M232" s="10" t="s">
        <v>142</v>
      </c>
      <c r="N232" s="10" t="s">
        <v>32</v>
      </c>
      <c r="O232" s="10" t="s">
        <v>132</v>
      </c>
      <c r="P232" s="10" t="s">
        <v>34</v>
      </c>
      <c r="Q232" s="10" t="s">
        <v>35</v>
      </c>
      <c r="R232" s="10" t="s">
        <v>36</v>
      </c>
      <c r="S232" s="11" t="s">
        <v>37</v>
      </c>
      <c r="T232" s="11" t="s">
        <v>37</v>
      </c>
      <c r="U232" s="11" t="s">
        <v>37</v>
      </c>
      <c r="V232" s="1" t="s">
        <v>860</v>
      </c>
      <c r="W232" s="10" t="s">
        <v>39</v>
      </c>
      <c r="X232" s="10" t="s">
        <v>39</v>
      </c>
    </row>
    <row r="233" customFormat="false" ht="15" hidden="false" customHeight="false" outlineLevel="0" collapsed="false">
      <c r="A233" s="5" t="s">
        <v>861</v>
      </c>
      <c r="B233" s="5" t="s">
        <v>862</v>
      </c>
      <c r="C233" s="5" t="s">
        <v>26</v>
      </c>
      <c r="D233" s="6" t="str">
        <f aca="false">VLOOKUP(B233,[3]master!$b$6:$V$252,21,0)</f>
        <v>9574920870</v>
      </c>
      <c r="F233" s="7" t="n">
        <v>35538</v>
      </c>
      <c r="G233" s="7" t="n">
        <v>35538</v>
      </c>
      <c r="H233" s="5" t="s">
        <v>27</v>
      </c>
      <c r="I233" s="8" t="s">
        <v>28</v>
      </c>
      <c r="K233" s="5" t="s">
        <v>112</v>
      </c>
      <c r="L233" s="5" t="s">
        <v>30</v>
      </c>
      <c r="M233" s="10" t="s">
        <v>455</v>
      </c>
      <c r="N233" s="10" t="s">
        <v>32</v>
      </c>
      <c r="O233" s="10" t="s">
        <v>816</v>
      </c>
      <c r="P233" s="10" t="s">
        <v>34</v>
      </c>
      <c r="Q233" s="10" t="s">
        <v>35</v>
      </c>
      <c r="R233" s="10" t="s">
        <v>36</v>
      </c>
      <c r="S233" s="11" t="s">
        <v>37</v>
      </c>
      <c r="T233" s="11" t="s">
        <v>37</v>
      </c>
      <c r="U233" s="11" t="s">
        <v>37</v>
      </c>
      <c r="V233" s="1" t="s">
        <v>863</v>
      </c>
      <c r="W233" s="10" t="s">
        <v>39</v>
      </c>
      <c r="X233" s="10" t="s">
        <v>39</v>
      </c>
    </row>
    <row r="234" customFormat="false" ht="15" hidden="false" customHeight="false" outlineLevel="0" collapsed="false">
      <c r="A234" s="5" t="s">
        <v>864</v>
      </c>
      <c r="B234" s="5" t="s">
        <v>865</v>
      </c>
      <c r="C234" s="5" t="s">
        <v>26</v>
      </c>
      <c r="D234" s="6" t="str">
        <f aca="false">VLOOKUP(B234,[3]master!$b$6:$V$252,21,0)</f>
        <v>7012648536</v>
      </c>
      <c r="F234" s="7" t="n">
        <v>34759</v>
      </c>
      <c r="G234" s="7" t="n">
        <v>34759</v>
      </c>
      <c r="H234" s="5" t="s">
        <v>47</v>
      </c>
      <c r="I234" s="8" t="s">
        <v>28</v>
      </c>
      <c r="K234" s="5" t="s">
        <v>112</v>
      </c>
      <c r="L234" s="5" t="s">
        <v>30</v>
      </c>
      <c r="M234" s="10" t="s">
        <v>455</v>
      </c>
      <c r="N234" s="10" t="s">
        <v>32</v>
      </c>
      <c r="O234" s="10" t="s">
        <v>866</v>
      </c>
      <c r="P234" s="10" t="s">
        <v>34</v>
      </c>
      <c r="Q234" s="10" t="s">
        <v>35</v>
      </c>
      <c r="R234" s="10" t="s">
        <v>36</v>
      </c>
      <c r="S234" s="11" t="s">
        <v>37</v>
      </c>
      <c r="T234" s="11" t="s">
        <v>37</v>
      </c>
      <c r="U234" s="11" t="s">
        <v>37</v>
      </c>
      <c r="V234" s="1" t="s">
        <v>867</v>
      </c>
      <c r="W234" s="10" t="s">
        <v>39</v>
      </c>
      <c r="X234" s="10" t="s">
        <v>39</v>
      </c>
    </row>
    <row r="235" customFormat="false" ht="15" hidden="false" customHeight="false" outlineLevel="0" collapsed="false">
      <c r="A235" s="5" t="s">
        <v>868</v>
      </c>
      <c r="B235" s="5" t="s">
        <v>869</v>
      </c>
      <c r="C235" s="5" t="s">
        <v>26</v>
      </c>
      <c r="D235" s="6" t="str">
        <f aca="false">VLOOKUP(B235,[3]master!$b$6:$V$252,21,0)</f>
        <v>7698787243</v>
      </c>
      <c r="F235" s="7" t="n">
        <v>34860</v>
      </c>
      <c r="G235" s="7" t="n">
        <v>34860</v>
      </c>
      <c r="H235" s="5" t="s">
        <v>47</v>
      </c>
      <c r="I235" s="8" t="s">
        <v>28</v>
      </c>
      <c r="K235" s="5" t="s">
        <v>112</v>
      </c>
      <c r="L235" s="5" t="s">
        <v>30</v>
      </c>
      <c r="M235" s="10" t="s">
        <v>811</v>
      </c>
      <c r="N235" s="10" t="s">
        <v>32</v>
      </c>
      <c r="O235" s="10" t="s">
        <v>598</v>
      </c>
      <c r="P235" s="10" t="s">
        <v>34</v>
      </c>
      <c r="Q235" s="10" t="s">
        <v>35</v>
      </c>
      <c r="R235" s="10" t="s">
        <v>36</v>
      </c>
      <c r="S235" s="11" t="s">
        <v>37</v>
      </c>
      <c r="T235" s="11" t="s">
        <v>37</v>
      </c>
      <c r="U235" s="11" t="s">
        <v>37</v>
      </c>
      <c r="V235" s="1" t="s">
        <v>870</v>
      </c>
      <c r="W235" s="10" t="s">
        <v>39</v>
      </c>
      <c r="X235" s="10" t="s">
        <v>39</v>
      </c>
    </row>
    <row r="236" customFormat="false" ht="15" hidden="false" customHeight="false" outlineLevel="0" collapsed="false">
      <c r="A236" s="5" t="s">
        <v>871</v>
      </c>
      <c r="B236" s="5" t="s">
        <v>872</v>
      </c>
      <c r="C236" s="5" t="s">
        <v>26</v>
      </c>
      <c r="D236" s="6" t="str">
        <f aca="false">VLOOKUP(B236,[3]master!$b$6:$V$252,21,0)</f>
        <v>7224062841</v>
      </c>
      <c r="F236" s="7" t="n">
        <v>36982</v>
      </c>
      <c r="G236" s="7" t="n">
        <v>36982</v>
      </c>
      <c r="H236" s="5" t="s">
        <v>136</v>
      </c>
      <c r="I236" s="8" t="s">
        <v>28</v>
      </c>
      <c r="K236" s="5" t="s">
        <v>112</v>
      </c>
      <c r="L236" s="5" t="s">
        <v>30</v>
      </c>
      <c r="M236" s="10" t="s">
        <v>811</v>
      </c>
      <c r="N236" s="10" t="s">
        <v>32</v>
      </c>
      <c r="O236" s="10" t="s">
        <v>598</v>
      </c>
      <c r="P236" s="10" t="s">
        <v>34</v>
      </c>
      <c r="Q236" s="10" t="s">
        <v>35</v>
      </c>
      <c r="R236" s="10" t="s">
        <v>36</v>
      </c>
      <c r="S236" s="11" t="s">
        <v>37</v>
      </c>
      <c r="T236" s="11" t="s">
        <v>37</v>
      </c>
      <c r="U236" s="11" t="s">
        <v>37</v>
      </c>
      <c r="V236" s="1" t="s">
        <v>873</v>
      </c>
      <c r="W236" s="10" t="s">
        <v>39</v>
      </c>
      <c r="X236" s="10" t="s">
        <v>39</v>
      </c>
    </row>
    <row r="237" customFormat="false" ht="15" hidden="false" customHeight="false" outlineLevel="0" collapsed="false">
      <c r="A237" s="5" t="s">
        <v>874</v>
      </c>
      <c r="B237" s="5" t="s">
        <v>875</v>
      </c>
      <c r="C237" s="5" t="s">
        <v>26</v>
      </c>
      <c r="D237" s="6" t="str">
        <f aca="false">VLOOKUP(B237,[2]sheet0!$a$3:$D$241,4,0)</f>
        <v>8238825875</v>
      </c>
      <c r="F237" s="7" t="n">
        <v>36934</v>
      </c>
      <c r="G237" s="7" t="n">
        <v>36934</v>
      </c>
      <c r="H237" s="5" t="s">
        <v>47</v>
      </c>
      <c r="I237" s="8" t="s">
        <v>28</v>
      </c>
      <c r="K237" s="5" t="s">
        <v>112</v>
      </c>
      <c r="L237" s="5" t="s">
        <v>30</v>
      </c>
      <c r="M237" s="10" t="s">
        <v>113</v>
      </c>
      <c r="N237" s="10" t="s">
        <v>32</v>
      </c>
      <c r="O237" s="10" t="s">
        <v>269</v>
      </c>
      <c r="P237" s="10" t="s">
        <v>34</v>
      </c>
      <c r="Q237" s="10" t="s">
        <v>35</v>
      </c>
      <c r="R237" s="10" t="s">
        <v>36</v>
      </c>
      <c r="S237" s="11" t="s">
        <v>37</v>
      </c>
      <c r="T237" s="11" t="s">
        <v>37</v>
      </c>
      <c r="U237" s="11" t="s">
        <v>37</v>
      </c>
      <c r="V237" s="1" t="s">
        <v>876</v>
      </c>
      <c r="W237" s="10" t="s">
        <v>39</v>
      </c>
      <c r="X237" s="10" t="s">
        <v>39</v>
      </c>
    </row>
    <row r="238" customFormat="false" ht="15" hidden="false" customHeight="false" outlineLevel="0" collapsed="false">
      <c r="A238" s="5" t="s">
        <v>877</v>
      </c>
      <c r="B238" s="5" t="s">
        <v>878</v>
      </c>
      <c r="C238" s="5" t="s">
        <v>26</v>
      </c>
      <c r="D238" s="6" t="str">
        <f aca="false">VLOOKUP(B238,[3]master!$b$6:$V$252,21,0)</f>
        <v>9496761387</v>
      </c>
      <c r="F238" s="7" t="n">
        <v>33336</v>
      </c>
      <c r="G238" s="7" t="n">
        <v>33336</v>
      </c>
      <c r="H238" s="5" t="s">
        <v>228</v>
      </c>
      <c r="I238" s="8" t="s">
        <v>28</v>
      </c>
      <c r="K238" s="5" t="s">
        <v>112</v>
      </c>
      <c r="L238" s="5" t="s">
        <v>30</v>
      </c>
      <c r="M238" s="10" t="s">
        <v>455</v>
      </c>
      <c r="N238" s="10" t="s">
        <v>32</v>
      </c>
      <c r="O238" s="10" t="s">
        <v>879</v>
      </c>
      <c r="P238" s="10" t="s">
        <v>34</v>
      </c>
      <c r="Q238" s="10" t="s">
        <v>35</v>
      </c>
      <c r="R238" s="10" t="s">
        <v>36</v>
      </c>
      <c r="S238" s="11" t="s">
        <v>37</v>
      </c>
      <c r="T238" s="11" t="s">
        <v>37</v>
      </c>
      <c r="U238" s="11" t="s">
        <v>37</v>
      </c>
      <c r="V238" s="1" t="s">
        <v>880</v>
      </c>
      <c r="W238" s="10" t="s">
        <v>39</v>
      </c>
      <c r="X238" s="10" t="s">
        <v>39</v>
      </c>
    </row>
    <row r="239" customFormat="false" ht="15" hidden="false" customHeight="false" outlineLevel="0" collapsed="false">
      <c r="A239" s="5" t="s">
        <v>881</v>
      </c>
      <c r="B239" s="5" t="s">
        <v>882</v>
      </c>
      <c r="C239" s="5" t="s">
        <v>42</v>
      </c>
      <c r="D239" s="6" t="str">
        <f aca="false">VLOOKUP(B239,[2]sheet0!$a$3:$D$241,4,0)</f>
        <v>7984269244</v>
      </c>
      <c r="F239" s="7" t="n">
        <v>26619</v>
      </c>
      <c r="G239" s="7" t="n">
        <v>26619</v>
      </c>
      <c r="H239" s="5" t="s">
        <v>228</v>
      </c>
      <c r="I239" s="8" t="s">
        <v>28</v>
      </c>
      <c r="K239" s="5" t="s">
        <v>112</v>
      </c>
      <c r="L239" s="5" t="s">
        <v>30</v>
      </c>
      <c r="M239" s="10" t="s">
        <v>75</v>
      </c>
      <c r="N239" s="10" t="s">
        <v>32</v>
      </c>
      <c r="O239" s="10" t="s">
        <v>71</v>
      </c>
      <c r="P239" s="10" t="s">
        <v>34</v>
      </c>
      <c r="Q239" s="10" t="s">
        <v>35</v>
      </c>
      <c r="R239" s="10" t="s">
        <v>36</v>
      </c>
      <c r="S239" s="11" t="s">
        <v>37</v>
      </c>
      <c r="T239" s="11" t="s">
        <v>37</v>
      </c>
      <c r="U239" s="11" t="s">
        <v>37</v>
      </c>
      <c r="V239" s="14" t="s">
        <v>883</v>
      </c>
      <c r="W239" s="10" t="s">
        <v>39</v>
      </c>
      <c r="X239" s="10" t="s">
        <v>39</v>
      </c>
    </row>
  </sheetData>
  <hyperlinks>
    <hyperlink ref="V9" r:id="rId1" display="maneeta@gmail.com"/>
    <hyperlink ref="V10" r:id="rId2" display="anita@gmail.com"/>
    <hyperlink ref="V11" r:id="rId3" display="sangita@gmail.com"/>
    <hyperlink ref="V12" r:id="rId4" display="rinku@gmail.com"/>
    <hyperlink ref="V56" r:id="rId5" display="dilip@gmail.com"/>
    <hyperlink ref="V59" r:id="rId6" display="kishor@gmail.com"/>
    <hyperlink ref="V111" r:id="rId7" display="shreepat@gmail.com"/>
    <hyperlink ref="V138" r:id="rId8" display="sangitabai@gmail.com"/>
    <hyperlink ref="V144" r:id="rId9" display="chandrika@gmail.com"/>
    <hyperlink ref="V174" r:id="rId10" display="manisha@gmail.com"/>
    <hyperlink ref="V175" r:id="rId11" display="piyush@gmail.com"/>
    <hyperlink ref="V178" r:id="rId12" display="sujit@gmail.com"/>
    <hyperlink ref="V179" r:id="rId13" display="halkeebahu@gmail.com"/>
    <hyperlink ref="V180" r:id="rId14" display="rajkumari@gmail.com"/>
    <hyperlink ref="V181" r:id="rId15" display="niruben@gmail.com"/>
    <hyperlink ref="V182" r:id="rId16" display="surekhaben@gmail.com"/>
    <hyperlink ref="V186" r:id="rId17" display="dipali@gmail.com"/>
    <hyperlink ref="V187" r:id="rId18" display="durgeshkumar@gmail.com"/>
    <hyperlink ref="V212" r:id="rId19" display="nimeshkumar@gmail.com"/>
    <hyperlink ref="V213" r:id="rId20" display="nanalal@gmail.com"/>
    <hyperlink ref="V215" r:id="rId21" display="maheshkumar@gmail.com"/>
    <hyperlink ref="V216" r:id="rId22" display="kalubhai@gmail.com"/>
    <hyperlink ref="V220" r:id="rId23" display="denish@gmail.com"/>
    <hyperlink ref="V222" r:id="rId24" display="hirendra@gmail.com"/>
    <hyperlink ref="V223" r:id="rId25" display="kartavya@gmail.com"/>
    <hyperlink ref="V224" r:id="rId26" display="ravi@gmail.com"/>
    <hyperlink ref="V225" r:id="rId27" display="ramashre@gmail.com"/>
    <hyperlink ref="V227" r:id="rId28" display="pradip@gmail.com"/>
    <hyperlink ref="V229" r:id="rId29" display="swastikkumar@gmail.com"/>
    <hyperlink ref="V239" r:id="rId30" display="sadhanaben@gmail.com"/>
  </hyperlink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rstPageNumber="1" fitToWidth="1" fitToHeight="1" pageOrder="downThenOver" orientation="portrait" blackAndWhite="false" draft="false" cellComments="none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E8:I23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G24" activeCellId="0" sqref="G24"/>
    </sheetView>
  </sheetViews>
  <sheetFormatPr defaultRowHeight="15" zeroHeight="false" outlineLevelRow="0" outlineLevelCol="0"/>
  <cols>
    <col collapsed="false" customWidth="true" hidden="false" outlineLevel="0" max="4" min="1" style="0" width="9.13"/>
    <col collapsed="false" customWidth="true" hidden="false" outlineLevel="0" max="5" min="5" style="0" width="22.57"/>
    <col collapsed="false" customWidth="true" hidden="false" outlineLevel="0" max="8" min="6" style="0" width="9.13"/>
    <col collapsed="false" customWidth="true" hidden="false" outlineLevel="0" max="9" min="9" style="5" width="22.01"/>
    <col collapsed="false" customWidth="true" hidden="false" outlineLevel="0" max="11" min="10" style="0" width="9.13"/>
    <col collapsed="false" customWidth="true" hidden="false" outlineLevel="0" max="12" min="12" style="0" width="23.15"/>
    <col collapsed="false" customWidth="true" hidden="false" outlineLevel="0" max="13" min="13" style="0" width="28.72"/>
    <col collapsed="false" customWidth="true" hidden="false" outlineLevel="0" max="1025" min="14" style="0" width="9.13"/>
  </cols>
  <sheetData>
    <row r="8" customFormat="false" ht="15" hidden="false" customHeight="false" outlineLevel="0" collapsed="false">
      <c r="E8" s="5"/>
    </row>
    <row r="9" customFormat="false" ht="15" hidden="false" customHeight="false" outlineLevel="0" collapsed="false">
      <c r="E9" s="5"/>
    </row>
    <row r="10" customFormat="false" ht="15" hidden="false" customHeight="false" outlineLevel="0" collapsed="false">
      <c r="E10" s="5"/>
    </row>
    <row r="11" customFormat="false" ht="15" hidden="false" customHeight="false" outlineLevel="0" collapsed="false">
      <c r="E11" s="5"/>
    </row>
    <row r="12" customFormat="false" ht="15" hidden="false" customHeight="false" outlineLevel="0" collapsed="false">
      <c r="E12" s="5"/>
    </row>
    <row r="13" customFormat="false" ht="15" hidden="false" customHeight="false" outlineLevel="0" collapsed="false">
      <c r="E13" s="5"/>
    </row>
    <row r="14" customFormat="false" ht="15" hidden="false" customHeight="false" outlineLevel="0" collapsed="false">
      <c r="E14" s="5"/>
    </row>
    <row r="15" customFormat="false" ht="15" hidden="false" customHeight="false" outlineLevel="0" collapsed="false">
      <c r="E15" s="5"/>
    </row>
    <row r="16" customFormat="false" ht="15" hidden="false" customHeight="false" outlineLevel="0" collapsed="false">
      <c r="E16" s="5"/>
    </row>
    <row r="17" customFormat="false" ht="15" hidden="false" customHeight="false" outlineLevel="0" collapsed="false">
      <c r="E17" s="5"/>
    </row>
    <row r="18" customFormat="false" ht="15" hidden="false" customHeight="false" outlineLevel="0" collapsed="false">
      <c r="E18" s="5"/>
    </row>
    <row r="19" customFormat="false" ht="15" hidden="false" customHeight="false" outlineLevel="0" collapsed="false">
      <c r="E19" s="5"/>
    </row>
    <row r="20" customFormat="false" ht="15" hidden="false" customHeight="false" outlineLevel="0" collapsed="false">
      <c r="E20" s="5"/>
    </row>
    <row r="21" customFormat="false" ht="15" hidden="false" customHeight="false" outlineLevel="0" collapsed="false">
      <c r="E21" s="5"/>
    </row>
    <row r="22" customFormat="false" ht="15" hidden="false" customHeight="false" outlineLevel="0" collapsed="false">
      <c r="E22" s="5"/>
    </row>
    <row r="23" customFormat="false" ht="15" hidden="false" customHeight="false" outlineLevel="0" collapsed="false">
      <c r="E23" s="5"/>
    </row>
    <row r="24" customFormat="false" ht="15" hidden="false" customHeight="false" outlineLevel="0" collapsed="false">
      <c r="E24" s="5"/>
    </row>
    <row r="104" customFormat="false" ht="15" hidden="false" customHeight="false" outlineLevel="0" collapsed="false">
      <c r="I104" s="5" t="e">
        <f aca="false">VLOOKUP(#REF!,[1]sheet0!$a$3:$L$462,12,0)</f>
        <v>#NAME?</v>
      </c>
    </row>
    <row r="105" customFormat="false" ht="15" hidden="false" customHeight="false" outlineLevel="0" collapsed="false">
      <c r="I105" s="5" t="e">
        <f aca="false">VLOOKUP(#REF!,[1]sheet0!$a$3:$L$462,12,0)</f>
        <v>#NAME?</v>
      </c>
    </row>
    <row r="106" customFormat="false" ht="15" hidden="false" customHeight="false" outlineLevel="0" collapsed="false">
      <c r="I106" s="5" t="e">
        <f aca="false">VLOOKUP(#REF!,[1]sheet0!$a$3:$L$462,12,0)</f>
        <v>#NAME?</v>
      </c>
    </row>
    <row r="107" customFormat="false" ht="15" hidden="false" customHeight="false" outlineLevel="0" collapsed="false">
      <c r="I107" s="5" t="e">
        <f aca="false">VLOOKUP(#REF!,[1]sheet0!$a$3:$L$462,12,0)</f>
        <v>#NAME?</v>
      </c>
    </row>
    <row r="108" customFormat="false" ht="15" hidden="false" customHeight="false" outlineLevel="0" collapsed="false">
      <c r="I108" s="5" t="e">
        <f aca="false">VLOOKUP(#REF!,[1]sheet0!$a$3:$L$462,12,0)</f>
        <v>#NAME?</v>
      </c>
    </row>
    <row r="109" customFormat="false" ht="15" hidden="false" customHeight="false" outlineLevel="0" collapsed="false">
      <c r="I109" s="5" t="e">
        <f aca="false">VLOOKUP(#REF!,[1]sheet0!$a$3:$L$462,12,0)</f>
        <v>#NAME?</v>
      </c>
    </row>
    <row r="110" customFormat="false" ht="15" hidden="false" customHeight="false" outlineLevel="0" collapsed="false">
      <c r="I110" s="5" t="e">
        <f aca="false">VLOOKUP(#REF!,[1]sheet0!$a$3:$L$462,12,0)</f>
        <v>#NAME?</v>
      </c>
    </row>
    <row r="111" customFormat="false" ht="15" hidden="false" customHeight="false" outlineLevel="0" collapsed="false">
      <c r="I111" s="5" t="e">
        <f aca="false">VLOOKUP(#REF!,[1]sheet0!$a$3:$L$462,12,0)</f>
        <v>#NAME?</v>
      </c>
    </row>
    <row r="112" customFormat="false" ht="15" hidden="false" customHeight="false" outlineLevel="0" collapsed="false">
      <c r="I112" s="5" t="e">
        <f aca="false">VLOOKUP(#REF!,[1]sheet0!$a$3:$L$462,12,0)</f>
        <v>#NAME?</v>
      </c>
    </row>
    <row r="113" customFormat="false" ht="15" hidden="false" customHeight="false" outlineLevel="0" collapsed="false">
      <c r="I113" s="5" t="e">
        <f aca="false">VLOOKUP(#REF!,[1]sheet0!$a$3:$L$462,12,0)</f>
        <v>#NAME?</v>
      </c>
    </row>
    <row r="114" customFormat="false" ht="15" hidden="false" customHeight="false" outlineLevel="0" collapsed="false">
      <c r="I114" s="5" t="e">
        <f aca="false">VLOOKUP(#REF!,[1]sheet0!$a$3:$L$462,12,0)</f>
        <v>#NAME?</v>
      </c>
    </row>
    <row r="115" customFormat="false" ht="15" hidden="false" customHeight="false" outlineLevel="0" collapsed="false">
      <c r="I115" s="5" t="e">
        <f aca="false">VLOOKUP(#REF!,[1]sheet0!$a$3:$L$462,12,0)</f>
        <v>#NAME?</v>
      </c>
    </row>
    <row r="116" customFormat="false" ht="15" hidden="false" customHeight="false" outlineLevel="0" collapsed="false">
      <c r="I116" s="5" t="e">
        <f aca="false">VLOOKUP(#REF!,[1]sheet0!$a$3:$L$462,12,0)</f>
        <v>#NAME?</v>
      </c>
    </row>
    <row r="117" customFormat="false" ht="15" hidden="false" customHeight="false" outlineLevel="0" collapsed="false">
      <c r="I117" s="5" t="e">
        <f aca="false">VLOOKUP(#REF!,[1]sheet0!$a$3:$L$462,12,0)</f>
        <v>#NAME?</v>
      </c>
    </row>
    <row r="118" customFormat="false" ht="15" hidden="false" customHeight="false" outlineLevel="0" collapsed="false">
      <c r="I118" s="5" t="e">
        <f aca="false">VLOOKUP(#REF!,[1]sheet0!$a$3:$L$462,12,0)</f>
        <v>#NAME?</v>
      </c>
    </row>
    <row r="119" customFormat="false" ht="15" hidden="false" customHeight="false" outlineLevel="0" collapsed="false">
      <c r="I119" s="5" t="e">
        <f aca="false">VLOOKUP(#REF!,[1]sheet0!$a$3:$L$462,12,0)</f>
        <v>#NAME?</v>
      </c>
    </row>
    <row r="120" customFormat="false" ht="15" hidden="false" customHeight="false" outlineLevel="0" collapsed="false">
      <c r="I120" s="5" t="e">
        <f aca="false">VLOOKUP(#REF!,[1]sheet0!$a$3:$L$462,12,0)</f>
        <v>#NAME?</v>
      </c>
    </row>
    <row r="121" customFormat="false" ht="15" hidden="false" customHeight="false" outlineLevel="0" collapsed="false">
      <c r="I121" s="5" t="e">
        <f aca="false">VLOOKUP(#REF!,[1]sheet0!$a$3:$L$462,12,0)</f>
        <v>#NAME?</v>
      </c>
    </row>
    <row r="122" customFormat="false" ht="15" hidden="false" customHeight="false" outlineLevel="0" collapsed="false">
      <c r="I122" s="5" t="e">
        <f aca="false">VLOOKUP(#REF!,[1]sheet0!$a$3:$L$462,12,0)</f>
        <v>#NAME?</v>
      </c>
    </row>
    <row r="123" customFormat="false" ht="15" hidden="false" customHeight="false" outlineLevel="0" collapsed="false">
      <c r="I123" s="5" t="e">
        <f aca="false">VLOOKUP(#REF!,[1]sheet0!$a$3:$L$462,12,0)</f>
        <v>#NAME?</v>
      </c>
    </row>
    <row r="124" customFormat="false" ht="15" hidden="false" customHeight="false" outlineLevel="0" collapsed="false">
      <c r="I124" s="5" t="e">
        <f aca="false">VLOOKUP(#REF!,[1]sheet0!$a$3:$L$462,12,0)</f>
        <v>#NAME?</v>
      </c>
    </row>
    <row r="125" customFormat="false" ht="15" hidden="false" customHeight="false" outlineLevel="0" collapsed="false">
      <c r="I125" s="5" t="e">
        <f aca="false">VLOOKUP(#REF!,[1]sheet0!$a$3:$L$462,12,0)</f>
        <v>#NAME?</v>
      </c>
    </row>
    <row r="126" customFormat="false" ht="15" hidden="false" customHeight="false" outlineLevel="0" collapsed="false">
      <c r="I126" s="5" t="e">
        <f aca="false">VLOOKUP(#REF!,[1]sheet0!$a$3:$L$462,12,0)</f>
        <v>#NAME?</v>
      </c>
    </row>
    <row r="127" customFormat="false" ht="15" hidden="false" customHeight="false" outlineLevel="0" collapsed="false">
      <c r="I127" s="5" t="e">
        <f aca="false">VLOOKUP(#REF!,[1]sheet0!$a$3:$L$462,12,0)</f>
        <v>#NAME?</v>
      </c>
    </row>
    <row r="128" customFormat="false" ht="15" hidden="false" customHeight="false" outlineLevel="0" collapsed="false">
      <c r="I128" s="5" t="e">
        <f aca="false">VLOOKUP(#REF!,[1]sheet0!$a$3:$L$462,12,0)</f>
        <v>#NAME?</v>
      </c>
    </row>
    <row r="129" customFormat="false" ht="15" hidden="false" customHeight="false" outlineLevel="0" collapsed="false">
      <c r="I129" s="5" t="e">
        <f aca="false">VLOOKUP(#REF!,[1]sheet0!$a$3:$L$462,12,0)</f>
        <v>#NAME?</v>
      </c>
    </row>
    <row r="130" customFormat="false" ht="15" hidden="false" customHeight="false" outlineLevel="0" collapsed="false">
      <c r="I130" s="5" t="e">
        <f aca="false">VLOOKUP(#REF!,[1]sheet0!$a$3:$L$462,12,0)</f>
        <v>#NAME?</v>
      </c>
    </row>
    <row r="131" customFormat="false" ht="15" hidden="false" customHeight="false" outlineLevel="0" collapsed="false">
      <c r="I131" s="5" t="e">
        <f aca="false">VLOOKUP(#REF!,[1]sheet0!$a$3:$L$462,12,0)</f>
        <v>#NAME?</v>
      </c>
    </row>
    <row r="132" customFormat="false" ht="15" hidden="false" customHeight="false" outlineLevel="0" collapsed="false">
      <c r="I132" s="5" t="e">
        <f aca="false">VLOOKUP(#REF!,[1]sheet0!$a$3:$L$462,12,0)</f>
        <v>#NAME?</v>
      </c>
    </row>
    <row r="133" customFormat="false" ht="15" hidden="false" customHeight="false" outlineLevel="0" collapsed="false">
      <c r="I133" s="5" t="e">
        <f aca="false">VLOOKUP(#REF!,[1]sheet0!$a$3:$L$462,12,0)</f>
        <v>#NAME?</v>
      </c>
    </row>
    <row r="134" customFormat="false" ht="15" hidden="false" customHeight="false" outlineLevel="0" collapsed="false">
      <c r="I134" s="5" t="e">
        <f aca="false">VLOOKUP(#REF!,[1]sheet0!$a$3:$L$462,12,0)</f>
        <v>#NAME?</v>
      </c>
    </row>
    <row r="135" customFormat="false" ht="15" hidden="false" customHeight="false" outlineLevel="0" collapsed="false">
      <c r="I135" s="5" t="e">
        <f aca="false">VLOOKUP(#REF!,[1]sheet0!$a$3:$L$462,12,0)</f>
        <v>#NAME?</v>
      </c>
    </row>
    <row r="136" customFormat="false" ht="15" hidden="false" customHeight="false" outlineLevel="0" collapsed="false">
      <c r="I136" s="5" t="e">
        <f aca="false">VLOOKUP(#REF!,[1]sheet0!$a$3:$L$462,12,0)</f>
        <v>#NAME?</v>
      </c>
    </row>
    <row r="137" customFormat="false" ht="15" hidden="false" customHeight="false" outlineLevel="0" collapsed="false">
      <c r="I137" s="5" t="e">
        <f aca="false">VLOOKUP(#REF!,[1]sheet0!$a$3:$L$462,12,0)</f>
        <v>#NAME?</v>
      </c>
    </row>
    <row r="138" customFormat="false" ht="15" hidden="false" customHeight="false" outlineLevel="0" collapsed="false">
      <c r="I138" s="5" t="e">
        <f aca="false">VLOOKUP(#REF!,[1]sheet0!$a$3:$L$462,12,0)</f>
        <v>#NAME?</v>
      </c>
    </row>
    <row r="139" customFormat="false" ht="15" hidden="false" customHeight="false" outlineLevel="0" collapsed="false">
      <c r="I139" s="5" t="e">
        <f aca="false">VLOOKUP(#REF!,[1]sheet0!$a$3:$L$462,12,0)</f>
        <v>#NAME?</v>
      </c>
    </row>
    <row r="140" customFormat="false" ht="15" hidden="false" customHeight="false" outlineLevel="0" collapsed="false">
      <c r="I140" s="5" t="e">
        <f aca="false">VLOOKUP(#REF!,[1]sheet0!$a$3:$L$462,12,0)</f>
        <v>#NAME?</v>
      </c>
    </row>
    <row r="141" customFormat="false" ht="15" hidden="false" customHeight="false" outlineLevel="0" collapsed="false">
      <c r="I141" s="5" t="e">
        <f aca="false">VLOOKUP(#REF!,[1]sheet0!$a$3:$L$462,12,0)</f>
        <v>#NAME?</v>
      </c>
    </row>
    <row r="142" customFormat="false" ht="15" hidden="false" customHeight="false" outlineLevel="0" collapsed="false">
      <c r="I142" s="5" t="e">
        <f aca="false">VLOOKUP(#REF!,[1]sheet0!$a$3:$L$462,12,0)</f>
        <v>#NAME?</v>
      </c>
    </row>
    <row r="143" customFormat="false" ht="15" hidden="false" customHeight="false" outlineLevel="0" collapsed="false">
      <c r="I143" s="5" t="e">
        <f aca="false">VLOOKUP(#REF!,[1]sheet0!$a$3:$L$462,12,0)</f>
        <v>#NAME?</v>
      </c>
    </row>
    <row r="144" customFormat="false" ht="15" hidden="false" customHeight="false" outlineLevel="0" collapsed="false">
      <c r="I144" s="5" t="e">
        <f aca="false">VLOOKUP(#REF!,[1]sheet0!$a$3:$L$462,12,0)</f>
        <v>#NAME?</v>
      </c>
    </row>
    <row r="145" customFormat="false" ht="15" hidden="false" customHeight="false" outlineLevel="0" collapsed="false">
      <c r="I145" s="5" t="e">
        <f aca="false">VLOOKUP(#REF!,[1]sheet0!$a$3:$L$462,12,0)</f>
        <v>#NAME?</v>
      </c>
    </row>
    <row r="146" customFormat="false" ht="15" hidden="false" customHeight="false" outlineLevel="0" collapsed="false">
      <c r="I146" s="5" t="e">
        <f aca="false">VLOOKUP(#REF!,[1]sheet0!$a$3:$L$462,12,0)</f>
        <v>#NAME?</v>
      </c>
    </row>
    <row r="147" customFormat="false" ht="15" hidden="false" customHeight="false" outlineLevel="0" collapsed="false">
      <c r="I147" s="5" t="e">
        <f aca="false">VLOOKUP(#REF!,[1]sheet0!$a$3:$L$462,12,0)</f>
        <v>#NAME?</v>
      </c>
    </row>
    <row r="148" customFormat="false" ht="15" hidden="false" customHeight="false" outlineLevel="0" collapsed="false">
      <c r="I148" s="5" t="e">
        <f aca="false">VLOOKUP(#REF!,[1]sheet0!$a$3:$L$462,12,0)</f>
        <v>#NAME?</v>
      </c>
    </row>
    <row r="149" customFormat="false" ht="15" hidden="false" customHeight="false" outlineLevel="0" collapsed="false">
      <c r="I149" s="5" t="e">
        <f aca="false">VLOOKUP(#REF!,[1]sheet0!$a$3:$L$462,12,0)</f>
        <v>#NAME?</v>
      </c>
    </row>
    <row r="150" customFormat="false" ht="15" hidden="false" customHeight="false" outlineLevel="0" collapsed="false">
      <c r="I150" s="5" t="e">
        <f aca="false">VLOOKUP(#REF!,[1]sheet0!$a$3:$L$462,12,0)</f>
        <v>#NAME?</v>
      </c>
    </row>
    <row r="151" customFormat="false" ht="15" hidden="false" customHeight="false" outlineLevel="0" collapsed="false">
      <c r="I151" s="5" t="e">
        <f aca="false">VLOOKUP(#REF!,[1]sheet0!$a$3:$L$462,12,0)</f>
        <v>#NAME?</v>
      </c>
    </row>
    <row r="152" customFormat="false" ht="15" hidden="false" customHeight="false" outlineLevel="0" collapsed="false">
      <c r="I152" s="5" t="e">
        <f aca="false">VLOOKUP(#REF!,[1]sheet0!$a$3:$L$462,12,0)</f>
        <v>#NAME?</v>
      </c>
    </row>
    <row r="153" customFormat="false" ht="15" hidden="false" customHeight="false" outlineLevel="0" collapsed="false">
      <c r="I153" s="5" t="e">
        <f aca="false">VLOOKUP(#REF!,[1]sheet0!$a$3:$L$462,12,0)</f>
        <v>#NAME?</v>
      </c>
    </row>
    <row r="154" customFormat="false" ht="15" hidden="false" customHeight="false" outlineLevel="0" collapsed="false">
      <c r="I154" s="5" t="e">
        <f aca="false">VLOOKUP(#REF!,[1]sheet0!$a$3:$L$462,12,0)</f>
        <v>#NAME?</v>
      </c>
    </row>
    <row r="155" customFormat="false" ht="15" hidden="false" customHeight="false" outlineLevel="0" collapsed="false">
      <c r="I155" s="5" t="e">
        <f aca="false">VLOOKUP(#REF!,[1]sheet0!$a$3:$L$462,12,0)</f>
        <v>#NAME?</v>
      </c>
    </row>
    <row r="156" customFormat="false" ht="15" hidden="false" customHeight="false" outlineLevel="0" collapsed="false">
      <c r="I156" s="5" t="e">
        <f aca="false">VLOOKUP(#REF!,[1]sheet0!$a$3:$L$462,12,0)</f>
        <v>#NAME?</v>
      </c>
    </row>
    <row r="157" customFormat="false" ht="15" hidden="false" customHeight="false" outlineLevel="0" collapsed="false">
      <c r="I157" s="5" t="e">
        <f aca="false">VLOOKUP(#REF!,[1]sheet0!$a$3:$L$462,12,0)</f>
        <v>#NAME?</v>
      </c>
    </row>
    <row r="158" customFormat="false" ht="15" hidden="false" customHeight="false" outlineLevel="0" collapsed="false">
      <c r="I158" s="5" t="e">
        <f aca="false">VLOOKUP(#REF!,[1]sheet0!$a$3:$L$462,12,0)</f>
        <v>#NAME?</v>
      </c>
    </row>
    <row r="159" customFormat="false" ht="15" hidden="false" customHeight="false" outlineLevel="0" collapsed="false">
      <c r="I159" s="5" t="e">
        <f aca="false">VLOOKUP(#REF!,[1]sheet0!$a$3:$L$462,12,0)</f>
        <v>#NAME?</v>
      </c>
    </row>
    <row r="160" customFormat="false" ht="15" hidden="false" customHeight="false" outlineLevel="0" collapsed="false">
      <c r="I160" s="5" t="e">
        <f aca="false">VLOOKUP(#REF!,[1]sheet0!$a$3:$L$462,12,0)</f>
        <v>#NAME?</v>
      </c>
    </row>
    <row r="161" customFormat="false" ht="15" hidden="false" customHeight="false" outlineLevel="0" collapsed="false">
      <c r="I161" s="5" t="e">
        <f aca="false">VLOOKUP(#REF!,[1]sheet0!$a$3:$L$462,12,0)</f>
        <v>#NAME?</v>
      </c>
    </row>
    <row r="162" customFormat="false" ht="15" hidden="false" customHeight="false" outlineLevel="0" collapsed="false">
      <c r="I162" s="5" t="e">
        <f aca="false">VLOOKUP(#REF!,[1]sheet0!$a$3:$L$462,12,0)</f>
        <v>#NAME?</v>
      </c>
    </row>
    <row r="163" customFormat="false" ht="15" hidden="false" customHeight="false" outlineLevel="0" collapsed="false">
      <c r="I163" s="5" t="e">
        <f aca="false">VLOOKUP(#REF!,[1]sheet0!$a$3:$L$462,12,0)</f>
        <v>#NAME?</v>
      </c>
    </row>
    <row r="164" customFormat="false" ht="15" hidden="false" customHeight="false" outlineLevel="0" collapsed="false">
      <c r="I164" s="5" t="e">
        <f aca="false">VLOOKUP(#REF!,[1]sheet0!$a$3:$L$462,12,0)</f>
        <v>#NAME?</v>
      </c>
    </row>
    <row r="165" customFormat="false" ht="15" hidden="false" customHeight="false" outlineLevel="0" collapsed="false">
      <c r="I165" s="5" t="e">
        <f aca="false">VLOOKUP(#REF!,[1]sheet0!$a$3:$L$462,12,0)</f>
        <v>#NAME?</v>
      </c>
    </row>
    <row r="166" customFormat="false" ht="15" hidden="false" customHeight="false" outlineLevel="0" collapsed="false">
      <c r="I166" s="5" t="e">
        <f aca="false">VLOOKUP(#REF!,[1]sheet0!$a$3:$L$462,12,0)</f>
        <v>#NAME?</v>
      </c>
    </row>
    <row r="167" customFormat="false" ht="15" hidden="false" customHeight="false" outlineLevel="0" collapsed="false">
      <c r="I167" s="5" t="e">
        <f aca="false">VLOOKUP(#REF!,[1]sheet0!$a$3:$L$462,12,0)</f>
        <v>#NAME?</v>
      </c>
    </row>
    <row r="168" customFormat="false" ht="15" hidden="false" customHeight="false" outlineLevel="0" collapsed="false">
      <c r="I168" s="5" t="e">
        <f aca="false">VLOOKUP(#REF!,[1]sheet0!$a$3:$L$462,12,0)</f>
        <v>#NAME?</v>
      </c>
    </row>
    <row r="169" customFormat="false" ht="15" hidden="false" customHeight="false" outlineLevel="0" collapsed="false">
      <c r="I169" s="5" t="e">
        <f aca="false">VLOOKUP(#REF!,[1]sheet0!$a$3:$L$462,12,0)</f>
        <v>#NAME?</v>
      </c>
    </row>
    <row r="170" customFormat="false" ht="15" hidden="false" customHeight="false" outlineLevel="0" collapsed="false">
      <c r="I170" s="5" t="e">
        <f aca="false">VLOOKUP(#REF!,[1]sheet0!$a$3:$L$462,12,0)</f>
        <v>#NAME?</v>
      </c>
    </row>
    <row r="171" customFormat="false" ht="15" hidden="false" customHeight="false" outlineLevel="0" collapsed="false">
      <c r="I171" s="5" t="e">
        <f aca="false">VLOOKUP(#REF!,[1]sheet0!$a$3:$L$462,12,0)</f>
        <v>#NAME?</v>
      </c>
    </row>
    <row r="172" customFormat="false" ht="15" hidden="false" customHeight="false" outlineLevel="0" collapsed="false">
      <c r="I172" s="5" t="e">
        <f aca="false">VLOOKUP(#REF!,[1]sheet0!$a$3:$L$462,12,0)</f>
        <v>#NAME?</v>
      </c>
    </row>
    <row r="173" customFormat="false" ht="15" hidden="false" customHeight="false" outlineLevel="0" collapsed="false">
      <c r="I173" s="5" t="e">
        <f aca="false">VLOOKUP(#REF!,[1]sheet0!$a$3:$L$462,12,0)</f>
        <v>#NAME?</v>
      </c>
    </row>
    <row r="174" customFormat="false" ht="15" hidden="false" customHeight="false" outlineLevel="0" collapsed="false">
      <c r="I174" s="5" t="e">
        <f aca="false">VLOOKUP(#REF!,[1]sheet0!$a$3:$L$462,12,0)</f>
        <v>#NAME?</v>
      </c>
    </row>
    <row r="175" customFormat="false" ht="15" hidden="false" customHeight="false" outlineLevel="0" collapsed="false">
      <c r="I175" s="5" t="e">
        <f aca="false">VLOOKUP(#REF!,[1]sheet0!$a$3:$L$462,12,0)</f>
        <v>#NAME?</v>
      </c>
    </row>
    <row r="176" customFormat="false" ht="15" hidden="false" customHeight="false" outlineLevel="0" collapsed="false">
      <c r="I176" s="5" t="e">
        <f aca="false">VLOOKUP(#REF!,[1]sheet0!$a$3:$L$462,12,0)</f>
        <v>#NAME?</v>
      </c>
    </row>
    <row r="177" customFormat="false" ht="15" hidden="false" customHeight="false" outlineLevel="0" collapsed="false">
      <c r="I177" s="5" t="e">
        <f aca="false">VLOOKUP(#REF!,[1]sheet0!$a$3:$L$462,12,0)</f>
        <v>#NAME?</v>
      </c>
    </row>
    <row r="178" customFormat="false" ht="15" hidden="false" customHeight="false" outlineLevel="0" collapsed="false">
      <c r="I178" s="5" t="e">
        <f aca="false">VLOOKUP(#REF!,[1]sheet0!$a$3:$L$462,12,0)</f>
        <v>#NAME?</v>
      </c>
    </row>
    <row r="179" customFormat="false" ht="15" hidden="false" customHeight="false" outlineLevel="0" collapsed="false">
      <c r="I179" s="5" t="e">
        <f aca="false">VLOOKUP(#REF!,[1]sheet0!$a$3:$L$462,12,0)</f>
        <v>#NAME?</v>
      </c>
    </row>
    <row r="180" customFormat="false" ht="15" hidden="false" customHeight="false" outlineLevel="0" collapsed="false">
      <c r="I180" s="5" t="e">
        <f aca="false">VLOOKUP(#REF!,[1]sheet0!$a$3:$L$462,12,0)</f>
        <v>#NAME?</v>
      </c>
    </row>
    <row r="181" customFormat="false" ht="15" hidden="false" customHeight="false" outlineLevel="0" collapsed="false">
      <c r="I181" s="5" t="e">
        <f aca="false">VLOOKUP(#REF!,[1]sheet0!$a$3:$L$462,12,0)</f>
        <v>#NAME?</v>
      </c>
    </row>
    <row r="182" customFormat="false" ht="15" hidden="false" customHeight="false" outlineLevel="0" collapsed="false">
      <c r="I182" s="5" t="e">
        <f aca="false">VLOOKUP(#REF!,[1]sheet0!$a$3:$L$462,12,0)</f>
        <v>#NAME?</v>
      </c>
    </row>
    <row r="183" customFormat="false" ht="15" hidden="false" customHeight="false" outlineLevel="0" collapsed="false">
      <c r="I183" s="5" t="e">
        <f aca="false">VLOOKUP(#REF!,[1]sheet0!$a$3:$L$462,12,0)</f>
        <v>#NAME?</v>
      </c>
    </row>
    <row r="184" customFormat="false" ht="15" hidden="false" customHeight="false" outlineLevel="0" collapsed="false">
      <c r="I184" s="5" t="e">
        <f aca="false">VLOOKUP(#REF!,[1]sheet0!$a$3:$L$462,12,0)</f>
        <v>#NAME?</v>
      </c>
    </row>
    <row r="185" customFormat="false" ht="15" hidden="false" customHeight="false" outlineLevel="0" collapsed="false">
      <c r="I185" s="5" t="e">
        <f aca="false">VLOOKUP(#REF!,[1]sheet0!$a$3:$L$462,12,0)</f>
        <v>#NAME?</v>
      </c>
    </row>
    <row r="186" customFormat="false" ht="15" hidden="false" customHeight="false" outlineLevel="0" collapsed="false">
      <c r="I186" s="5" t="e">
        <f aca="false">VLOOKUP(#REF!,[1]sheet0!$a$3:$L$462,12,0)</f>
        <v>#NAME?</v>
      </c>
    </row>
    <row r="187" customFormat="false" ht="15" hidden="false" customHeight="false" outlineLevel="0" collapsed="false">
      <c r="I187" s="5" t="e">
        <f aca="false">VLOOKUP(#REF!,[1]sheet0!$a$3:$L$462,12,0)</f>
        <v>#NAME?</v>
      </c>
    </row>
    <row r="188" customFormat="false" ht="15" hidden="false" customHeight="false" outlineLevel="0" collapsed="false">
      <c r="I188" s="5" t="e">
        <f aca="false">VLOOKUP(#REF!,[1]sheet0!$a$3:$L$462,12,0)</f>
        <v>#NAME?</v>
      </c>
    </row>
    <row r="189" customFormat="false" ht="15" hidden="false" customHeight="false" outlineLevel="0" collapsed="false">
      <c r="I189" s="5" t="e">
        <f aca="false">VLOOKUP(#REF!,[1]sheet0!$a$3:$L$462,12,0)</f>
        <v>#NAME?</v>
      </c>
    </row>
    <row r="190" customFormat="false" ht="15" hidden="false" customHeight="false" outlineLevel="0" collapsed="false">
      <c r="I190" s="5" t="e">
        <f aca="false">VLOOKUP(#REF!,[1]sheet0!$a$3:$L$462,12,0)</f>
        <v>#NAME?</v>
      </c>
    </row>
    <row r="191" customFormat="false" ht="15" hidden="false" customHeight="false" outlineLevel="0" collapsed="false">
      <c r="I191" s="5" t="e">
        <f aca="false">VLOOKUP(#REF!,[1]sheet0!$a$3:$L$462,12,0)</f>
        <v>#NAME?</v>
      </c>
    </row>
    <row r="192" customFormat="false" ht="15" hidden="false" customHeight="false" outlineLevel="0" collapsed="false">
      <c r="I192" s="5" t="e">
        <f aca="false">VLOOKUP(#REF!,[1]sheet0!$a$3:$L$462,12,0)</f>
        <v>#NAME?</v>
      </c>
    </row>
    <row r="193" customFormat="false" ht="15" hidden="false" customHeight="false" outlineLevel="0" collapsed="false">
      <c r="I193" s="5" t="e">
        <f aca="false">VLOOKUP(#REF!,[1]sheet0!$a$3:$L$462,12,0)</f>
        <v>#NAME?</v>
      </c>
    </row>
    <row r="194" customFormat="false" ht="15" hidden="false" customHeight="false" outlineLevel="0" collapsed="false">
      <c r="I194" s="5" t="e">
        <f aca="false">VLOOKUP(#REF!,[1]sheet0!$a$3:$L$462,12,0)</f>
        <v>#NAME?</v>
      </c>
    </row>
    <row r="195" customFormat="false" ht="15" hidden="false" customHeight="false" outlineLevel="0" collapsed="false">
      <c r="I195" s="5" t="e">
        <f aca="false">VLOOKUP(#REF!,[1]sheet0!$a$3:$L$462,12,0)</f>
        <v>#NAME?</v>
      </c>
    </row>
    <row r="196" customFormat="false" ht="15" hidden="false" customHeight="false" outlineLevel="0" collapsed="false">
      <c r="I196" s="5" t="e">
        <f aca="false">VLOOKUP(#REF!,[1]sheet0!$a$3:$L$462,12,0)</f>
        <v>#NAME?</v>
      </c>
    </row>
    <row r="197" customFormat="false" ht="15" hidden="false" customHeight="false" outlineLevel="0" collapsed="false">
      <c r="I197" s="5" t="e">
        <f aca="false">VLOOKUP(#REF!,[1]sheet0!$a$3:$L$462,12,0)</f>
        <v>#NAME?</v>
      </c>
    </row>
    <row r="198" customFormat="false" ht="15" hidden="false" customHeight="false" outlineLevel="0" collapsed="false">
      <c r="I198" s="5" t="e">
        <f aca="false">VLOOKUP(#REF!,[1]sheet0!$a$3:$L$462,12,0)</f>
        <v>#NAME?</v>
      </c>
    </row>
    <row r="199" customFormat="false" ht="15" hidden="false" customHeight="false" outlineLevel="0" collapsed="false">
      <c r="I199" s="5" t="e">
        <f aca="false">VLOOKUP(#REF!,[1]sheet0!$a$3:$L$462,12,0)</f>
        <v>#NAME?</v>
      </c>
    </row>
    <row r="200" customFormat="false" ht="15" hidden="false" customHeight="false" outlineLevel="0" collapsed="false">
      <c r="I200" s="5" t="e">
        <f aca="false">VLOOKUP(#REF!,[1]sheet0!$a$3:$L$462,12,0)</f>
        <v>#NAME?</v>
      </c>
    </row>
    <row r="201" customFormat="false" ht="15" hidden="false" customHeight="false" outlineLevel="0" collapsed="false">
      <c r="I201" s="5" t="e">
        <f aca="false">VLOOKUP(#REF!,[1]sheet0!$a$3:$L$462,12,0)</f>
        <v>#NAME?</v>
      </c>
    </row>
    <row r="202" customFormat="false" ht="15" hidden="false" customHeight="false" outlineLevel="0" collapsed="false">
      <c r="I202" s="5" t="e">
        <f aca="false">VLOOKUP(#REF!,[1]sheet0!$a$3:$L$462,12,0)</f>
        <v>#NAME?</v>
      </c>
    </row>
    <row r="203" customFormat="false" ht="15" hidden="false" customHeight="false" outlineLevel="0" collapsed="false">
      <c r="I203" s="5" t="e">
        <f aca="false">VLOOKUP(#REF!,[1]sheet0!$a$3:$L$462,12,0)</f>
        <v>#NAME?</v>
      </c>
    </row>
    <row r="204" customFormat="false" ht="15" hidden="false" customHeight="false" outlineLevel="0" collapsed="false">
      <c r="I204" s="5" t="e">
        <f aca="false">VLOOKUP(#REF!,[1]sheet0!$a$3:$L$462,12,0)</f>
        <v>#NAME?</v>
      </c>
    </row>
    <row r="205" customFormat="false" ht="15" hidden="false" customHeight="false" outlineLevel="0" collapsed="false">
      <c r="I205" s="5" t="e">
        <f aca="false">VLOOKUP(#REF!,[1]sheet0!$a$3:$L$462,12,0)</f>
        <v>#NAME?</v>
      </c>
    </row>
    <row r="206" customFormat="false" ht="15" hidden="false" customHeight="false" outlineLevel="0" collapsed="false">
      <c r="I206" s="5" t="e">
        <f aca="false">VLOOKUP(#REF!,[1]sheet0!$a$3:$L$462,12,0)</f>
        <v>#NAME?</v>
      </c>
    </row>
    <row r="207" customFormat="false" ht="15" hidden="false" customHeight="false" outlineLevel="0" collapsed="false">
      <c r="I207" s="5" t="e">
        <f aca="false">VLOOKUP(#REF!,[1]sheet0!$a$3:$L$462,12,0)</f>
        <v>#NAME?</v>
      </c>
    </row>
    <row r="208" customFormat="false" ht="15" hidden="false" customHeight="false" outlineLevel="0" collapsed="false">
      <c r="I208" s="5" t="e">
        <f aca="false">VLOOKUP(#REF!,[1]sheet0!$a$3:$L$462,12,0)</f>
        <v>#NAME?</v>
      </c>
    </row>
    <row r="209" customFormat="false" ht="15" hidden="false" customHeight="false" outlineLevel="0" collapsed="false">
      <c r="I209" s="5" t="e">
        <f aca="false">VLOOKUP(#REF!,[1]sheet0!$a$3:$L$462,12,0)</f>
        <v>#NAME?</v>
      </c>
    </row>
    <row r="210" customFormat="false" ht="15" hidden="false" customHeight="false" outlineLevel="0" collapsed="false">
      <c r="I210" s="5" t="e">
        <f aca="false">VLOOKUP(#REF!,[1]sheet0!$a$3:$L$462,12,0)</f>
        <v>#NAME?</v>
      </c>
    </row>
    <row r="211" customFormat="false" ht="15" hidden="false" customHeight="false" outlineLevel="0" collapsed="false">
      <c r="I211" s="5" t="e">
        <f aca="false">VLOOKUP(#REF!,[1]sheet0!$a$3:$L$462,12,0)</f>
        <v>#NAME?</v>
      </c>
    </row>
    <row r="212" customFormat="false" ht="15" hidden="false" customHeight="false" outlineLevel="0" collapsed="false">
      <c r="I212" s="5" t="e">
        <f aca="false">VLOOKUP(#REF!,[1]sheet0!$a$3:$L$462,12,0)</f>
        <v>#NAME?</v>
      </c>
    </row>
    <row r="213" customFormat="false" ht="15" hidden="false" customHeight="false" outlineLevel="0" collapsed="false">
      <c r="I213" s="5" t="e">
        <f aca="false">VLOOKUP(#REF!,[1]sheet0!$a$3:$L$462,12,0)</f>
        <v>#NAME?</v>
      </c>
    </row>
    <row r="214" customFormat="false" ht="15" hidden="false" customHeight="false" outlineLevel="0" collapsed="false">
      <c r="I214" s="5" t="e">
        <f aca="false">VLOOKUP(#REF!,[1]sheet0!$a$3:$L$462,12,0)</f>
        <v>#NAME?</v>
      </c>
    </row>
    <row r="215" customFormat="false" ht="15" hidden="false" customHeight="false" outlineLevel="0" collapsed="false">
      <c r="I215" s="5" t="e">
        <f aca="false">VLOOKUP(#REF!,[1]sheet0!$a$3:$L$462,12,0)</f>
        <v>#NAME?</v>
      </c>
    </row>
    <row r="216" customFormat="false" ht="15" hidden="false" customHeight="false" outlineLevel="0" collapsed="false">
      <c r="I216" s="5" t="e">
        <f aca="false">VLOOKUP(#REF!,[1]sheet0!$a$3:$L$462,12,0)</f>
        <v>#NAME?</v>
      </c>
    </row>
    <row r="217" customFormat="false" ht="15" hidden="false" customHeight="false" outlineLevel="0" collapsed="false">
      <c r="I217" s="5" t="e">
        <f aca="false">VLOOKUP(#REF!,[1]sheet0!$a$3:$L$462,12,0)</f>
        <v>#NAME?</v>
      </c>
    </row>
    <row r="218" customFormat="false" ht="15" hidden="false" customHeight="false" outlineLevel="0" collapsed="false">
      <c r="I218" s="5" t="e">
        <f aca="false">VLOOKUP(#REF!,[1]sheet0!$a$3:$L$462,12,0)</f>
        <v>#NAME?</v>
      </c>
    </row>
    <row r="219" customFormat="false" ht="15" hidden="false" customHeight="false" outlineLevel="0" collapsed="false">
      <c r="I219" s="5" t="e">
        <f aca="false">VLOOKUP(#REF!,[1]sheet0!$a$3:$L$462,12,0)</f>
        <v>#NAME?</v>
      </c>
    </row>
    <row r="220" customFormat="false" ht="15" hidden="false" customHeight="false" outlineLevel="0" collapsed="false">
      <c r="I220" s="5" t="e">
        <f aca="false">VLOOKUP(#REF!,[1]sheet0!$a$3:$L$462,12,0)</f>
        <v>#NAME?</v>
      </c>
    </row>
    <row r="221" customFormat="false" ht="15" hidden="false" customHeight="false" outlineLevel="0" collapsed="false">
      <c r="I221" s="5" t="e">
        <f aca="false">VLOOKUP(#REF!,[1]sheet0!$a$3:$L$462,12,0)</f>
        <v>#NAME?</v>
      </c>
    </row>
    <row r="222" customFormat="false" ht="15" hidden="false" customHeight="false" outlineLevel="0" collapsed="false">
      <c r="I222" s="5" t="e">
        <f aca="false">VLOOKUP(#REF!,[1]sheet0!$a$3:$L$462,12,0)</f>
        <v>#NAME?</v>
      </c>
    </row>
    <row r="223" customFormat="false" ht="15" hidden="false" customHeight="false" outlineLevel="0" collapsed="false">
      <c r="I223" s="5" t="e">
        <f aca="false">VLOOKUP(#REF!,[1]sheet0!$a$3:$L$462,12,0)</f>
        <v>#NAME?</v>
      </c>
    </row>
    <row r="224" customFormat="false" ht="15" hidden="false" customHeight="false" outlineLevel="0" collapsed="false">
      <c r="I224" s="5" t="e">
        <f aca="false">VLOOKUP(#REF!,[1]sheet0!$a$3:$L$462,12,0)</f>
        <v>#NAME?</v>
      </c>
    </row>
    <row r="225" customFormat="false" ht="15" hidden="false" customHeight="false" outlineLevel="0" collapsed="false">
      <c r="I225" s="5" t="e">
        <f aca="false">VLOOKUP(#REF!,[1]sheet0!$a$3:$L$462,12,0)</f>
        <v>#NAME?</v>
      </c>
    </row>
    <row r="226" customFormat="false" ht="15" hidden="false" customHeight="false" outlineLevel="0" collapsed="false">
      <c r="I226" s="5" t="e">
        <f aca="false">VLOOKUP(#REF!,[1]sheet0!$a$3:$L$462,12,0)</f>
        <v>#NAME?</v>
      </c>
    </row>
    <row r="227" customFormat="false" ht="15" hidden="false" customHeight="false" outlineLevel="0" collapsed="false">
      <c r="I227" s="5" t="e">
        <f aca="false">VLOOKUP(#REF!,[1]sheet0!$a$3:$L$462,12,0)</f>
        <v>#NAME?</v>
      </c>
    </row>
    <row r="228" customFormat="false" ht="15" hidden="false" customHeight="false" outlineLevel="0" collapsed="false">
      <c r="I228" s="5" t="e">
        <f aca="false">VLOOKUP(#REF!,[1]sheet0!$a$3:$L$462,12,0)</f>
        <v>#NAME?</v>
      </c>
    </row>
    <row r="229" customFormat="false" ht="15" hidden="false" customHeight="false" outlineLevel="0" collapsed="false">
      <c r="I229" s="5" t="e">
        <f aca="false">VLOOKUP(#REF!,[1]sheet0!$a$3:$L$462,12,0)</f>
        <v>#NAME?</v>
      </c>
    </row>
    <row r="230" customFormat="false" ht="15" hidden="false" customHeight="false" outlineLevel="0" collapsed="false">
      <c r="I230" s="5" t="e">
        <f aca="false">VLOOKUP(#REF!,[1]sheet0!$a$3:$L$462,12,0)</f>
        <v>#NAME?</v>
      </c>
    </row>
    <row r="231" customFormat="false" ht="15" hidden="false" customHeight="false" outlineLevel="0" collapsed="false">
      <c r="I231" s="5" t="e">
        <f aca="false">VLOOKUP(#REF!,[1]sheet0!$a$3:$L$462,12,0)</f>
        <v>#NAME?</v>
      </c>
    </row>
    <row r="232" customFormat="false" ht="15" hidden="false" customHeight="false" outlineLevel="0" collapsed="false">
      <c r="I232" s="5" t="e">
        <f aca="false">VLOOKUP(#REF!,[1]sheet0!$a$3:$L$462,12,0)</f>
        <v>#NAME?</v>
      </c>
    </row>
    <row r="233" customFormat="false" ht="15" hidden="false" customHeight="false" outlineLevel="0" collapsed="false">
      <c r="I233" s="5" t="e">
        <f aca="false">VLOOKUP(#REF!,[1]sheet0!$a$3:$L$462,12,0)</f>
        <v>#NAME?</v>
      </c>
    </row>
    <row r="234" customFormat="false" ht="15" hidden="false" customHeight="false" outlineLevel="0" collapsed="false">
      <c r="I234" s="5" t="e">
        <f aca="false">VLOOKUP(#REF!,[1]sheet0!$a$3:$L$462,12,0)</f>
        <v>#NAME?</v>
      </c>
    </row>
    <row r="235" customFormat="false" ht="15" hidden="false" customHeight="false" outlineLevel="0" collapsed="false">
      <c r="I235" s="5" t="e">
        <f aca="false">VLOOKUP(#REF!,[1]sheet0!$a$3:$L$462,12,0)</f>
        <v>#NAME?</v>
      </c>
    </row>
    <row r="236" customFormat="false" ht="15" hidden="false" customHeight="false" outlineLevel="0" collapsed="false">
      <c r="I236" s="5" t="e">
        <f aca="false">VLOOKUP(#REF!,[1]sheet0!$a$3:$L$462,12,0)</f>
        <v>#NAME?</v>
      </c>
    </row>
    <row r="237" customFormat="false" ht="15" hidden="false" customHeight="false" outlineLevel="0" collapsed="false">
      <c r="I237" s="5" t="e">
        <f aca="false">VLOOKUP(#REF!,[1]sheet0!$a$3:$L$462,12,0)</f>
        <v>#NAME?</v>
      </c>
    </row>
    <row r="238" customFormat="false" ht="15" hidden="false" customHeight="false" outlineLevel="0" collapsed="false">
      <c r="I238" s="5" t="e">
        <f aca="false">VLOOKUP(#REF!,[1]sheet0!$a$3:$L$462,12,0)</f>
        <v>#NAME?</v>
      </c>
    </row>
    <row r="239" customFormat="false" ht="15" hidden="false" customHeight="false" outlineLevel="0" collapsed="false">
      <c r="I239" s="5" t="e">
        <f aca="false">VLOOKUP(#REF!,[1]sheet0!$a$3:$L$462,12,0)</f>
        <v>#NAME?</v>
      </c>
    </row>
  </sheetData>
  <printOptions headings="false" gridLines="false" gridLinesSet="true" horizontalCentered="false" verticalCentered="false"/>
  <pageMargins left="0.75" right="0.75" top="1" bottom="1" header="0.511805555555555" footer="0.511805555555555"/>
  <pageSetup paperSize="9" scale="100" firstPageNumber="0" fitToWidth="1" fitToHeight="1" pageOrder="downThenOver" orientation="portrait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185</TotalTime>
  <Application>LibreOffice/6.0.7.3$Linux_X86_64 LibreOffice_project/00m0$Build-3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2023-04-03T12:36:00Z</dcterms:created>
  <dc:creator/>
  <dc:description/>
  <dc:language>en-IN</dc:language>
  <cp:lastModifiedBy/>
  <dcterms:modified xsi:type="dcterms:W3CDTF">2023-06-14T12:16:12Z</dcterms:modified>
  <cp:revision>22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2E1C0CD5943F46999C77B9DCBA686C89</vt:lpwstr>
  </property>
  <property fmtid="{D5CDD505-2E9C-101B-9397-08002B2CF9AE}" pid="3" name="KSOProductBuildVer">
    <vt:lpwstr>1033-11.2.0.11537</vt:lpwstr>
  </property>
</Properties>
</file>